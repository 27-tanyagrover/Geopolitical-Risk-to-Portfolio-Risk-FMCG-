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FRM\"/>
    </mc:Choice>
  </mc:AlternateContent>
  <bookViews>
    <workbookView xWindow="0" yWindow="0" windowWidth="20490" windowHeight="7455" activeTab="2"/>
  </bookViews>
  <sheets>
    <sheet name="FMCG" sheetId="1" r:id="rId1"/>
    <sheet name="financial performance " sheetId="3" r:id="rId2"/>
    <sheet name="solvency ratios " sheetId="4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3" l="1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W141" i="1"/>
  <c r="S141" i="1"/>
  <c r="O141" i="1"/>
  <c r="K141" i="1"/>
  <c r="G141" i="1"/>
  <c r="C141" i="1"/>
  <c r="W140" i="1"/>
  <c r="S140" i="1"/>
  <c r="O140" i="1"/>
  <c r="K140" i="1"/>
  <c r="G140" i="1"/>
  <c r="C140" i="1"/>
  <c r="X4" i="1" l="1"/>
  <c r="T4" i="1"/>
  <c r="P4" i="1"/>
  <c r="L4" i="1"/>
  <c r="H4" i="1"/>
  <c r="D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W4" i="1"/>
  <c r="S4" i="1"/>
  <c r="O4" i="1"/>
  <c r="K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4" i="1"/>
</calcChain>
</file>

<file path=xl/sharedStrings.xml><?xml version="1.0" encoding="utf-8"?>
<sst xmlns="http://schemas.openxmlformats.org/spreadsheetml/2006/main" count="93" uniqueCount="55">
  <si>
    <t>Date</t>
  </si>
  <si>
    <t>Price</t>
  </si>
  <si>
    <t xml:space="preserve">Dabur India limited </t>
  </si>
  <si>
    <t xml:space="preserve">Britannia </t>
  </si>
  <si>
    <t xml:space="preserve">nestle </t>
  </si>
  <si>
    <t xml:space="preserve">ITC </t>
  </si>
  <si>
    <t>Hindustan unilever</t>
  </si>
  <si>
    <t xml:space="preserve">Nifty FMCG </t>
  </si>
  <si>
    <t>return</t>
  </si>
  <si>
    <t>beta</t>
  </si>
  <si>
    <t>Beta</t>
  </si>
  <si>
    <t>Std dev</t>
  </si>
  <si>
    <t>mean</t>
  </si>
  <si>
    <t>Company Name</t>
  </si>
  <si>
    <t>Financial Metric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</si>
  <si>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</si>
  <si>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</si>
  <si>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</si>
  <si>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</si>
  <si>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</si>
  <si>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</si>
  <si>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</si>
  <si>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</si>
  <si>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8-Qtr Total</t>
  </si>
  <si>
    <t>8-Qtr Average</t>
  </si>
  <si>
    <t>Hindustan Unilever Ltd (HUL)</t>
  </si>
  <si>
    <t>Sales / Revenue</t>
  </si>
  <si>
    <t>Net Profit (PAT)</t>
  </si>
  <si>
    <t>ITC Ltd</t>
  </si>
  <si>
    <t>Nestlé India Ltd</t>
  </si>
  <si>
    <t>Dabur India Ltd</t>
  </si>
  <si>
    <t>Britannia Industries Ltd</t>
  </si>
  <si>
    <t>CAPITAL STRUCTURE &amp; SOLVENCY RATIOS</t>
  </si>
  <si>
    <t>Leverage, Debt Coverage Metrics, and Credit Profile Analysis</t>
  </si>
  <si>
    <t>Debt to Equity Ratio</t>
  </si>
  <si>
    <t>Interest Coverage Ratio (ICR)</t>
  </si>
  <si>
    <t>Debt Service Coverage Ratio (DSCR)</t>
  </si>
  <si>
    <t>Debt Profile Summary</t>
  </si>
  <si>
    <t>42.5x</t>
  </si>
  <si>
    <t>&gt; 35.0x</t>
  </si>
  <si>
    <t>Virtually debt-free; high cash surplus &amp; strong internal accruals</t>
  </si>
  <si>
    <t>85.0x</t>
  </si>
  <si>
    <t>&gt; 70.0x</t>
  </si>
  <si>
    <t>Zero long-term debt; pure net-cash position across all business segments</t>
  </si>
  <si>
    <t>31.2x</t>
  </si>
  <si>
    <t>&gt; 25.0x</t>
  </si>
  <si>
    <t>Minimal lease &amp; short-term debt liabilities; robust return ratios</t>
  </si>
  <si>
    <t>18.5x</t>
  </si>
  <si>
    <t>&gt; 12.0x</t>
  </si>
  <si>
    <t>Low working capital debt footprint; manageable debt profile</t>
  </si>
  <si>
    <t>16.8x</t>
  </si>
  <si>
    <t>&gt; 10.5x</t>
  </si>
  <si>
    <t>Commercial paper &amp; short-term debentures issued for capital optimization</t>
  </si>
  <si>
    <t>FMCG MAJORS - 8 QUARTER FINANCIAL PERFORMANCE</t>
  </si>
  <si>
    <t>Consolidated Sales / Revenue from Operations and Net Profit (PAT) in ₹ Crore (Q2 FY25 to Q1 FY27)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</si>
</sst>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\₹#,##0"/>
    <numFmt numFmtId="169" formatCode="0.00\x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6"/>
      <color rgb="FF1F4E78"/>
      <name val="Segoe UI"/>
      <family val="2"/>
    </font>
    <font>
      <i/>
      <sz val="11"/>
      <color rgb="FF59595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168" fontId="4" fillId="3" borderId="2" xfId="0" applyNumberFormat="1" applyFont="1" applyFill="1" applyBorder="1" applyAlignment="1">
      <alignment horizontal="right"/>
    </xf>
    <xf numFmtId="168" fontId="3" fillId="3" borderId="2" xfId="0" applyNumberFormat="1" applyFont="1" applyFill="1" applyBorder="1" applyAlignment="1">
      <alignment horizontal="right"/>
    </xf>
    <xf numFmtId="0" fontId="4" fillId="3" borderId="2" xfId="0" applyFont="1" applyFill="1" applyBorder="1"/>
    <xf numFmtId="0" fontId="3" fillId="4" borderId="2" xfId="0" applyFont="1" applyFill="1" applyBorder="1"/>
    <xf numFmtId="168" fontId="4" fillId="4" borderId="2" xfId="0" applyNumberFormat="1" applyFont="1" applyFill="1" applyBorder="1" applyAlignment="1">
      <alignment horizontal="right"/>
    </xf>
    <xf numFmtId="168" fontId="3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9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Q1 FY27 Revenue Comparison Across Peer Set (₹ Cr)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'[1]Financial Performance'!$J$4</c:f>
              <c:strCache>
                <c:ptCount val="1"/>
                <c:pt idx="0">
                  <c:v>Q1 FY27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'[1]Financial Performance'!$A$5:$A$14</c:f>
              <c:strCache>
                <c:ptCount val="10"/>
                <c:pt idx="0">
                  <c:v>Hindustan Unilever Ltd (HUL)</c:v>
                </c:pt>
                <c:pt idx="1">
                  <c:v>Hindustan Unilever Ltd (HUL)</c:v>
                </c:pt>
                <c:pt idx="2">
                  <c:v>ITC Ltd</c:v>
                </c:pt>
                <c:pt idx="3">
                  <c:v>ITC Ltd</c:v>
                </c:pt>
                <c:pt idx="4">
                  <c:v>Nestlé India Ltd</c:v>
                </c:pt>
                <c:pt idx="5">
                  <c:v>Nestlé India Ltd</c:v>
                </c:pt>
                <c:pt idx="6">
                  <c:v>Dabur India Ltd</c:v>
                </c:pt>
                <c:pt idx="7">
                  <c:v>Dabur India Ltd</c:v>
                </c:pt>
                <c:pt idx="8">
                  <c:v>Britannia Industries Ltd</c:v>
                </c:pt>
                <c:pt idx="9">
                  <c:v>Britannia Industries Ltd</c:v>
                </c:pt>
              </c:strCache>
            </c:strRef>
          </c:cat>
          <c:val>
            <c:numRef>
              <c:f>'[1]Financial Performance'!$J$5:$J$14</c:f>
              <c:numCache>
                <c:formatCode>General</c:formatCode>
                <c:ptCount val="10"/>
                <c:pt idx="0">
                  <c:v>17341</c:v>
                </c:pt>
                <c:pt idx="1">
                  <c:v>2673</c:v>
                </c:pt>
                <c:pt idx="2">
                  <c:v>24800</c:v>
                </c:pt>
                <c:pt idx="3">
                  <c:v>3910</c:v>
                </c:pt>
                <c:pt idx="4">
                  <c:v>6401</c:v>
                </c:pt>
                <c:pt idx="5">
                  <c:v>975</c:v>
                </c:pt>
                <c:pt idx="6">
                  <c:v>3350</c:v>
                </c:pt>
                <c:pt idx="7">
                  <c:v>591</c:v>
                </c:pt>
                <c:pt idx="8">
                  <c:v>4834</c:v>
                </c:pt>
                <c:pt idx="9">
                  <c:v>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07936"/>
        <c:axId val="487508720"/>
      </c:barChart>
      <c:catAx>
        <c:axId val="48750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Company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87508720"/>
        <c:crosses val="autoZero"/>
        <c:auto val="0"/>
        <c:lblAlgn val="ctr"/>
        <c:lblOffset val="100"/>
        <c:noMultiLvlLbl val="0"/>
      </c:catAx>
      <c:valAx>
        <c:axId val="487508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 Cr)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8750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6480000" cy="360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FMCG_Majors_8_Quarter_Financial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Performance"/>
      <sheetName val="Financial Ratios &amp; Solvency"/>
      <sheetName val="News &amp; Corporate Events"/>
    </sheetNames>
    <sheetDataSet>
      <sheetData sheetId="0">
        <row r="4">
          <cell r="J4" t="str">
            <v>Q1 FY27</v>
          </cell>
        </row>
        <row r="5">
          <cell r="A5" t="str">
            <v>Hindustan Unilever Ltd (HUL)</v>
          </cell>
          <cell r="J5">
            <v>17341</v>
          </cell>
        </row>
        <row r="6">
          <cell r="A6" t="str">
            <v>Hindustan Unilever Ltd (HUL)</v>
          </cell>
          <cell r="J6">
            <v>2673</v>
          </cell>
        </row>
        <row r="7">
          <cell r="A7" t="str">
            <v>ITC Ltd</v>
          </cell>
          <cell r="J7">
            <v>24800</v>
          </cell>
        </row>
        <row r="8">
          <cell r="A8" t="str">
            <v>ITC Ltd</v>
          </cell>
          <cell r="J8">
            <v>3910</v>
          </cell>
        </row>
        <row r="9">
          <cell r="A9" t="str">
            <v>Nestlé India Ltd</v>
          </cell>
          <cell r="J9">
            <v>6401</v>
          </cell>
        </row>
        <row r="10">
          <cell r="A10" t="str">
            <v>Nestlé India Ltd</v>
          </cell>
          <cell r="J10">
            <v>975</v>
          </cell>
        </row>
        <row r="11">
          <cell r="A11" t="str">
            <v>Dabur India Ltd</v>
          </cell>
          <cell r="J11">
            <v>3350</v>
          </cell>
        </row>
        <row r="12">
          <cell r="A12" t="str">
            <v>Dabur India Ltd</v>
          </cell>
          <cell r="J12">
            <v>591</v>
          </cell>
        </row>
        <row r="13">
          <cell r="A13" t="str">
            <v>Britannia Industries Ltd</v>
          </cell>
          <cell r="J13">
            <v>4834</v>
          </cell>
        </row>
        <row r="14">
          <cell r="A14" t="str">
            <v>Britannia Industries Ltd</v>
          </cell>
          <cell r="J14">
            <v>735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1"/>
  <sheetViews>
    <sheetView topLeftCell="A14" workbookViewId="0">
      <selection activeCell="A141" sqref="A141"/>
    </sheetView>
  </sheetViews>
  <sheetFormatPr defaultRowHeight="15" x14ac:dyDescent="0.25"/>
  <cols>
    <col min="1" max="1" width="18.7109375" bestFit="1" customWidth="1"/>
    <col min="5" max="5" width="9.7109375" bestFit="1" customWidth="1"/>
    <col min="9" max="9" width="9.7109375" bestFit="1" customWidth="1"/>
    <col min="13" max="13" width="9.7109375" bestFit="1" customWidth="1"/>
    <col min="17" max="17" width="18.140625" bestFit="1" customWidth="1"/>
    <col min="21" max="21" width="11.42578125" bestFit="1" customWidth="1"/>
  </cols>
  <sheetData>
    <row r="1" spans="1:24" x14ac:dyDescent="0.25">
      <c r="A1" t="s">
        <v>2</v>
      </c>
      <c r="E1" t="s">
        <v>3</v>
      </c>
      <c r="I1" t="s">
        <v>4</v>
      </c>
      <c r="M1" t="s">
        <v>5</v>
      </c>
      <c r="Q1" t="s">
        <v>6</v>
      </c>
      <c r="U1" t="s">
        <v>7</v>
      </c>
    </row>
    <row r="3" spans="1:24" x14ac:dyDescent="0.25">
      <c r="A3" t="s">
        <v>0</v>
      </c>
      <c r="B3" t="s">
        <v>1</v>
      </c>
      <c r="C3" t="s">
        <v>8</v>
      </c>
      <c r="D3" t="s">
        <v>9</v>
      </c>
      <c r="E3" t="s">
        <v>0</v>
      </c>
      <c r="F3" t="s">
        <v>1</v>
      </c>
      <c r="G3" t="s">
        <v>8</v>
      </c>
      <c r="H3" t="s">
        <v>10</v>
      </c>
      <c r="I3" t="s">
        <v>0</v>
      </c>
      <c r="J3" t="s">
        <v>1</v>
      </c>
      <c r="K3" t="s">
        <v>8</v>
      </c>
      <c r="L3" t="s">
        <v>10</v>
      </c>
      <c r="M3" t="s">
        <v>0</v>
      </c>
      <c r="N3" t="s">
        <v>1</v>
      </c>
      <c r="O3" t="s">
        <v>8</v>
      </c>
      <c r="P3" t="s">
        <v>10</v>
      </c>
      <c r="Q3" t="s">
        <v>0</v>
      </c>
      <c r="R3" t="s">
        <v>1</v>
      </c>
      <c r="S3" t="s">
        <v>8</v>
      </c>
      <c r="T3" t="s">
        <v>10</v>
      </c>
      <c r="U3" t="s">
        <v>0</v>
      </c>
      <c r="V3" t="s">
        <v>1</v>
      </c>
      <c r="W3" t="s">
        <v>8</v>
      </c>
      <c r="X3" t="s">
        <v>10</v>
      </c>
    </row>
    <row r="4" spans="1:24" x14ac:dyDescent="0.25">
      <c r="A4" s="1">
        <v>46282</v>
      </c>
      <c r="B4">
        <v>384.55</v>
      </c>
      <c r="C4">
        <f>(B4-B5)/B5</f>
        <v>6.6753926701570978E-3</v>
      </c>
      <c r="D4" s="3">
        <f>SLOPE(C4:C137,$W$4:$W$137)</f>
        <v>1.2172302422518493</v>
      </c>
      <c r="E4" s="1">
        <v>46282</v>
      </c>
      <c r="F4" s="2">
        <v>4982</v>
      </c>
      <c r="G4">
        <f>(F4-F5)/F5</f>
        <v>-3.5003500350035003E-3</v>
      </c>
      <c r="H4" s="3">
        <f>SLOPE(G4:G137,$W$4:$W$137)</f>
        <v>0.79811057842976574</v>
      </c>
      <c r="I4" s="1">
        <v>46282</v>
      </c>
      <c r="J4" s="2">
        <v>1370.6</v>
      </c>
      <c r="K4">
        <f>(J4-J5)/J5</f>
        <v>-1.0039725532683345E-2</v>
      </c>
      <c r="L4" s="3">
        <f>SLOPE(K4:K137,$W$4:$W$137)</f>
        <v>0.78912957810143736</v>
      </c>
      <c r="M4" s="1">
        <v>46282</v>
      </c>
      <c r="N4">
        <v>266.2</v>
      </c>
      <c r="O4">
        <f>(N4-N5)/N5</f>
        <v>7.7607420026500531E-3</v>
      </c>
      <c r="P4" s="3">
        <f>SLOPE(O4:O137,$W$4:$W$137)</f>
        <v>0.95817319080206764</v>
      </c>
      <c r="Q4" s="1">
        <v>46282</v>
      </c>
      <c r="R4" s="2">
        <v>1942.2</v>
      </c>
      <c r="S4">
        <f>(R4-R5)/R5</f>
        <v>-1.0091743119266031E-2</v>
      </c>
      <c r="T4" s="3">
        <f>SLOPE(S4:S137,$W$4:$W$137)</f>
        <v>1.2582090196177054</v>
      </c>
      <c r="U4" s="1">
        <v>46282</v>
      </c>
      <c r="V4" s="2">
        <v>45572.7</v>
      </c>
      <c r="W4">
        <f>(V4-V5)/V5</f>
        <v>3.0070897078507186E-4</v>
      </c>
      <c r="X4" s="3">
        <f>SLOPE(W4:W137,$W$4:$W$137)</f>
        <v>1</v>
      </c>
    </row>
    <row r="5" spans="1:24" x14ac:dyDescent="0.25">
      <c r="A5" s="1">
        <v>46281</v>
      </c>
      <c r="B5">
        <v>382</v>
      </c>
      <c r="C5">
        <f t="shared" ref="C5:C68" si="0">(B5-B6)/B6</f>
        <v>-7.5344245258508113E-3</v>
      </c>
      <c r="E5" s="1">
        <v>46281</v>
      </c>
      <c r="F5" s="2">
        <v>4999.5</v>
      </c>
      <c r="G5">
        <f t="shared" ref="G5:G68" si="1">(F5-F6)/F6</f>
        <v>1.0510358767054067E-2</v>
      </c>
      <c r="I5" s="1">
        <v>46281</v>
      </c>
      <c r="J5" s="2">
        <v>1384.5</v>
      </c>
      <c r="K5">
        <f t="shared" ref="K5:K68" si="2">(J5-J6)/J6</f>
        <v>1.6519823788546256E-2</v>
      </c>
      <c r="M5" s="1">
        <v>46281</v>
      </c>
      <c r="N5">
        <v>264.14999999999998</v>
      </c>
      <c r="O5">
        <f t="shared" ref="O5:O68" si="3">(N5-N6)/N6</f>
        <v>2.3837209302325493E-2</v>
      </c>
      <c r="Q5" s="1">
        <v>46281</v>
      </c>
      <c r="R5" s="2">
        <v>1962</v>
      </c>
      <c r="S5">
        <f t="shared" ref="S5:S68" si="4">(R5-R6)/R6</f>
        <v>1.2331665032764096E-2</v>
      </c>
      <c r="U5" s="1">
        <v>46281</v>
      </c>
      <c r="V5" s="2">
        <v>45559</v>
      </c>
      <c r="W5">
        <f t="shared" ref="W5:W68" si="5">(V5-V6)/V6</f>
        <v>1.6262565539332589E-2</v>
      </c>
    </row>
    <row r="6" spans="1:24" x14ac:dyDescent="0.25">
      <c r="A6" s="1">
        <v>46280</v>
      </c>
      <c r="B6">
        <v>384.9</v>
      </c>
      <c r="C6">
        <f t="shared" si="0"/>
        <v>2.3670212765957387E-2</v>
      </c>
      <c r="E6" s="1">
        <v>46280</v>
      </c>
      <c r="F6" s="2">
        <v>4947.5</v>
      </c>
      <c r="G6">
        <f t="shared" si="1"/>
        <v>-2.9222087867795243E-3</v>
      </c>
      <c r="I6" s="1">
        <v>46280</v>
      </c>
      <c r="J6" s="2">
        <v>1362</v>
      </c>
      <c r="K6">
        <f t="shared" si="2"/>
        <v>-1.5397961396660128E-2</v>
      </c>
      <c r="M6" s="1">
        <v>46280</v>
      </c>
      <c r="N6">
        <v>258</v>
      </c>
      <c r="O6">
        <f t="shared" si="3"/>
        <v>-7.1194920146239087E-3</v>
      </c>
      <c r="Q6" s="1">
        <v>46280</v>
      </c>
      <c r="R6" s="2">
        <v>1938.1</v>
      </c>
      <c r="S6">
        <f t="shared" si="4"/>
        <v>5.7602490918525736E-3</v>
      </c>
      <c r="U6" s="1">
        <v>46280</v>
      </c>
      <c r="V6" s="2">
        <v>44829.95</v>
      </c>
      <c r="W6">
        <f t="shared" si="5"/>
        <v>-4.9674000499404132E-3</v>
      </c>
    </row>
    <row r="7" spans="1:24" x14ac:dyDescent="0.25">
      <c r="A7" s="1">
        <v>46276</v>
      </c>
      <c r="B7">
        <v>376</v>
      </c>
      <c r="C7">
        <f t="shared" si="0"/>
        <v>-1.1953778722273573E-3</v>
      </c>
      <c r="E7" s="1">
        <v>46276</v>
      </c>
      <c r="F7" s="2">
        <v>4962</v>
      </c>
      <c r="G7">
        <f t="shared" si="1"/>
        <v>-9.3831104012777004E-3</v>
      </c>
      <c r="I7" s="1">
        <v>46276</v>
      </c>
      <c r="J7" s="2">
        <v>1383.3</v>
      </c>
      <c r="K7">
        <f t="shared" si="2"/>
        <v>-2.0920502092050867E-3</v>
      </c>
      <c r="M7" s="1">
        <v>46276</v>
      </c>
      <c r="N7">
        <v>259.85000000000002</v>
      </c>
      <c r="O7">
        <f t="shared" si="3"/>
        <v>2.1210952564597431E-3</v>
      </c>
      <c r="Q7" s="1">
        <v>46276</v>
      </c>
      <c r="R7" s="2">
        <v>1927</v>
      </c>
      <c r="S7">
        <f t="shared" si="4"/>
        <v>-7.8772589198372826E-3</v>
      </c>
      <c r="U7" s="1">
        <v>46276</v>
      </c>
      <c r="V7" s="2">
        <v>45053.75</v>
      </c>
      <c r="W7">
        <f t="shared" si="5"/>
        <v>-2.9179650154031052E-3</v>
      </c>
    </row>
    <row r="8" spans="1:24" x14ac:dyDescent="0.25">
      <c r="A8" s="1">
        <v>46275</v>
      </c>
      <c r="B8">
        <v>376.45</v>
      </c>
      <c r="C8">
        <f t="shared" si="0"/>
        <v>1.3187996232001014E-2</v>
      </c>
      <c r="E8" s="1">
        <v>46275</v>
      </c>
      <c r="F8" s="2">
        <v>5009</v>
      </c>
      <c r="G8">
        <f t="shared" si="1"/>
        <v>-1.5913555992141455E-2</v>
      </c>
      <c r="I8" s="1">
        <v>46275</v>
      </c>
      <c r="J8" s="2">
        <v>1386.2</v>
      </c>
      <c r="K8">
        <f t="shared" si="2"/>
        <v>-4.8815506101937941E-3</v>
      </c>
      <c r="M8" s="1">
        <v>46275</v>
      </c>
      <c r="N8">
        <v>259.3</v>
      </c>
      <c r="O8">
        <f t="shared" si="3"/>
        <v>-5.7515337423312881E-3</v>
      </c>
      <c r="Q8" s="1">
        <v>46275</v>
      </c>
      <c r="R8" s="2">
        <v>1942.3</v>
      </c>
      <c r="S8">
        <f t="shared" si="4"/>
        <v>-1.3881748071979667E-3</v>
      </c>
      <c r="U8" s="1">
        <v>46275</v>
      </c>
      <c r="V8" s="2">
        <v>45185.599999999999</v>
      </c>
      <c r="W8">
        <f t="shared" si="5"/>
        <v>-2.7290233230521685E-3</v>
      </c>
    </row>
    <row r="9" spans="1:24" x14ac:dyDescent="0.25">
      <c r="A9" s="1">
        <v>46274</v>
      </c>
      <c r="B9">
        <v>371.55</v>
      </c>
      <c r="C9">
        <f t="shared" si="0"/>
        <v>-9.1999999999999704E-3</v>
      </c>
      <c r="E9" s="1">
        <v>46274</v>
      </c>
      <c r="F9" s="2">
        <v>5090</v>
      </c>
      <c r="G9">
        <f t="shared" si="1"/>
        <v>5.1342812006319113E-3</v>
      </c>
      <c r="I9" s="1">
        <v>46274</v>
      </c>
      <c r="J9" s="2">
        <v>1393</v>
      </c>
      <c r="K9">
        <f t="shared" si="2"/>
        <v>-5.3552302749018208E-3</v>
      </c>
      <c r="M9" s="1">
        <v>46274</v>
      </c>
      <c r="N9">
        <v>260.8</v>
      </c>
      <c r="O9">
        <f t="shared" si="3"/>
        <v>-1.0246679316888002E-2</v>
      </c>
      <c r="Q9" s="1">
        <v>46274</v>
      </c>
      <c r="R9" s="2">
        <v>1945</v>
      </c>
      <c r="S9">
        <f t="shared" si="4"/>
        <v>-1.7676767676767676E-2</v>
      </c>
      <c r="U9" s="1">
        <v>46274</v>
      </c>
      <c r="V9" s="2">
        <v>45309.25</v>
      </c>
      <c r="W9">
        <f t="shared" si="5"/>
        <v>-9.6306326687409585E-3</v>
      </c>
    </row>
    <row r="10" spans="1:24" x14ac:dyDescent="0.25">
      <c r="A10" s="1">
        <v>46273</v>
      </c>
      <c r="B10">
        <v>375</v>
      </c>
      <c r="C10">
        <f t="shared" si="0"/>
        <v>-1.3315579227696406E-3</v>
      </c>
      <c r="E10" s="1">
        <v>46273</v>
      </c>
      <c r="F10" s="2">
        <v>5064</v>
      </c>
      <c r="G10">
        <f t="shared" si="1"/>
        <v>4.2637580565195836E-3</v>
      </c>
      <c r="I10" s="1">
        <v>46273</v>
      </c>
      <c r="J10" s="2">
        <v>1400.5</v>
      </c>
      <c r="K10">
        <f t="shared" si="2"/>
        <v>1.7882689556509299E-3</v>
      </c>
      <c r="M10" s="1">
        <v>46273</v>
      </c>
      <c r="N10">
        <v>263.5</v>
      </c>
      <c r="O10">
        <f t="shared" si="3"/>
        <v>0</v>
      </c>
      <c r="Q10" s="1">
        <v>46273</v>
      </c>
      <c r="R10" s="2">
        <v>1980</v>
      </c>
      <c r="S10">
        <f t="shared" si="4"/>
        <v>1.020408163265306E-2</v>
      </c>
      <c r="U10" s="1">
        <v>46273</v>
      </c>
      <c r="V10" s="2">
        <v>45749.85</v>
      </c>
      <c r="W10">
        <f t="shared" si="5"/>
        <v>3.4589287848894399E-3</v>
      </c>
    </row>
    <row r="11" spans="1:24" x14ac:dyDescent="0.25">
      <c r="A11" s="1">
        <v>46272</v>
      </c>
      <c r="B11">
        <v>375.5</v>
      </c>
      <c r="C11">
        <f t="shared" si="0"/>
        <v>-1.4176949330532889E-2</v>
      </c>
      <c r="E11" s="1">
        <v>46272</v>
      </c>
      <c r="F11" s="2">
        <v>5042.5</v>
      </c>
      <c r="G11">
        <f t="shared" si="1"/>
        <v>-1.1565225913946878E-2</v>
      </c>
      <c r="I11" s="1">
        <v>46272</v>
      </c>
      <c r="J11" s="2">
        <v>1398</v>
      </c>
      <c r="K11">
        <f t="shared" si="2"/>
        <v>-8.8621056362991855E-3</v>
      </c>
      <c r="M11" s="1">
        <v>46272</v>
      </c>
      <c r="N11">
        <v>263.5</v>
      </c>
      <c r="O11">
        <f t="shared" si="3"/>
        <v>-2.2718667171526797E-3</v>
      </c>
      <c r="Q11" s="1">
        <v>46272</v>
      </c>
      <c r="R11" s="2">
        <v>1960</v>
      </c>
      <c r="S11">
        <f t="shared" si="4"/>
        <v>-6.790311138137271E-3</v>
      </c>
      <c r="U11" s="1">
        <v>46272</v>
      </c>
      <c r="V11" s="2">
        <v>45592.15</v>
      </c>
      <c r="W11">
        <f t="shared" si="5"/>
        <v>-6.5500542024611412E-3</v>
      </c>
    </row>
    <row r="12" spans="1:24" x14ac:dyDescent="0.25">
      <c r="A12" s="1">
        <v>46269</v>
      </c>
      <c r="B12">
        <v>380.9</v>
      </c>
      <c r="C12">
        <f t="shared" si="0"/>
        <v>5.2534804307850964E-4</v>
      </c>
      <c r="E12" s="1">
        <v>46269</v>
      </c>
      <c r="F12" s="2">
        <v>5101.5</v>
      </c>
      <c r="G12">
        <f t="shared" si="1"/>
        <v>-5.5555555555555558E-3</v>
      </c>
      <c r="I12" s="1">
        <v>46269</v>
      </c>
      <c r="J12" s="2">
        <v>1410.5</v>
      </c>
      <c r="K12">
        <f t="shared" si="2"/>
        <v>-3.8841807909604522E-3</v>
      </c>
      <c r="M12" s="1">
        <v>46269</v>
      </c>
      <c r="N12">
        <v>264.10000000000002</v>
      </c>
      <c r="O12">
        <f t="shared" si="3"/>
        <v>4.1825095057035086E-3</v>
      </c>
      <c r="Q12" s="1">
        <v>46269</v>
      </c>
      <c r="R12" s="2">
        <v>1973.4</v>
      </c>
      <c r="S12">
        <f t="shared" si="4"/>
        <v>5.8103975535168662E-3</v>
      </c>
      <c r="U12" s="1">
        <v>46269</v>
      </c>
      <c r="V12" s="2">
        <v>45892.75</v>
      </c>
      <c r="W12">
        <f t="shared" si="5"/>
        <v>-1.3687109202024442E-3</v>
      </c>
    </row>
    <row r="13" spans="1:24" x14ac:dyDescent="0.25">
      <c r="A13" s="1">
        <v>46268</v>
      </c>
      <c r="B13">
        <v>380.7</v>
      </c>
      <c r="C13">
        <f t="shared" si="0"/>
        <v>4.4854881266490464E-3</v>
      </c>
      <c r="E13" s="1">
        <v>46268</v>
      </c>
      <c r="F13" s="2">
        <v>5130</v>
      </c>
      <c r="G13">
        <f t="shared" si="1"/>
        <v>-4.6565774155995342E-3</v>
      </c>
      <c r="I13" s="1">
        <v>46268</v>
      </c>
      <c r="J13" s="2">
        <v>1416</v>
      </c>
      <c r="K13">
        <f t="shared" si="2"/>
        <v>-6.3157894736842104E-3</v>
      </c>
      <c r="M13" s="1">
        <v>46268</v>
      </c>
      <c r="N13">
        <v>263</v>
      </c>
      <c r="O13">
        <f t="shared" si="3"/>
        <v>-1.2392039053698877E-2</v>
      </c>
      <c r="Q13" s="1">
        <v>46268</v>
      </c>
      <c r="R13" s="2">
        <v>1962</v>
      </c>
      <c r="S13">
        <f t="shared" si="4"/>
        <v>-6.5822784810126581E-3</v>
      </c>
      <c r="U13" s="1">
        <v>46268</v>
      </c>
      <c r="V13" s="2">
        <v>45955.65</v>
      </c>
      <c r="W13">
        <f t="shared" si="5"/>
        <v>-6.1612588950607514E-3</v>
      </c>
    </row>
    <row r="14" spans="1:24" x14ac:dyDescent="0.25">
      <c r="A14" s="1">
        <v>46267</v>
      </c>
      <c r="B14">
        <v>379</v>
      </c>
      <c r="C14">
        <f t="shared" si="0"/>
        <v>-1.3020833333333334E-2</v>
      </c>
      <c r="E14" s="1">
        <v>46267</v>
      </c>
      <c r="F14" s="2">
        <v>5154</v>
      </c>
      <c r="G14">
        <f t="shared" si="1"/>
        <v>-6.3620589936379413E-3</v>
      </c>
      <c r="I14" s="1">
        <v>46267</v>
      </c>
      <c r="J14" s="2">
        <v>1425</v>
      </c>
      <c r="K14">
        <f t="shared" si="2"/>
        <v>-9.1781393408427517E-3</v>
      </c>
      <c r="M14" s="1">
        <v>46267</v>
      </c>
      <c r="N14">
        <v>266.3</v>
      </c>
      <c r="O14">
        <f t="shared" si="3"/>
        <v>-1.1252813203301252E-3</v>
      </c>
      <c r="Q14" s="1">
        <v>46267</v>
      </c>
      <c r="R14" s="2">
        <v>1975</v>
      </c>
      <c r="S14">
        <f t="shared" si="4"/>
        <v>-9.9258070984559622E-3</v>
      </c>
      <c r="U14" s="1">
        <v>46267</v>
      </c>
      <c r="V14" s="2">
        <v>46240.55</v>
      </c>
      <c r="W14">
        <f t="shared" si="5"/>
        <v>-4.6623609067710471E-3</v>
      </c>
    </row>
    <row r="15" spans="1:24" x14ac:dyDescent="0.25">
      <c r="A15" s="1">
        <v>46266</v>
      </c>
      <c r="B15">
        <v>384</v>
      </c>
      <c r="C15">
        <f t="shared" si="0"/>
        <v>7.874015748031496E-3</v>
      </c>
      <c r="E15" s="1">
        <v>46266</v>
      </c>
      <c r="F15" s="2">
        <v>5187</v>
      </c>
      <c r="G15">
        <f t="shared" si="1"/>
        <v>-1.2E-2</v>
      </c>
      <c r="I15" s="1">
        <v>46266</v>
      </c>
      <c r="J15" s="2">
        <v>1438.2</v>
      </c>
      <c r="K15">
        <f t="shared" si="2"/>
        <v>-3.8957567657868328E-2</v>
      </c>
      <c r="M15" s="1">
        <v>46266</v>
      </c>
      <c r="N15">
        <v>266.60000000000002</v>
      </c>
      <c r="O15">
        <f t="shared" si="3"/>
        <v>4.3444227005870931E-2</v>
      </c>
      <c r="Q15" s="1">
        <v>46266</v>
      </c>
      <c r="R15" s="2">
        <v>1994.8</v>
      </c>
      <c r="S15">
        <f t="shared" si="4"/>
        <v>1.3927010267357865E-2</v>
      </c>
      <c r="U15" s="1">
        <v>46266</v>
      </c>
      <c r="V15" s="2">
        <v>46457.15</v>
      </c>
      <c r="W15">
        <f t="shared" si="5"/>
        <v>9.3774001614320424E-3</v>
      </c>
    </row>
    <row r="16" spans="1:24" x14ac:dyDescent="0.25">
      <c r="A16" s="1">
        <v>46265</v>
      </c>
      <c r="B16">
        <v>381</v>
      </c>
      <c r="C16">
        <f t="shared" si="0"/>
        <v>-1.2953367875647668E-2</v>
      </c>
      <c r="E16" s="1">
        <v>46265</v>
      </c>
      <c r="F16" s="2">
        <v>5250</v>
      </c>
      <c r="G16">
        <f t="shared" si="1"/>
        <v>-1.1020062164453235E-2</v>
      </c>
      <c r="I16" s="1">
        <v>46265</v>
      </c>
      <c r="J16" s="2">
        <v>1496.5</v>
      </c>
      <c r="K16">
        <f t="shared" si="2"/>
        <v>2.8805169806132333E-2</v>
      </c>
      <c r="M16" s="1">
        <v>46265</v>
      </c>
      <c r="N16">
        <v>255.5</v>
      </c>
      <c r="O16">
        <f t="shared" si="3"/>
        <v>-3.9473684210526314E-2</v>
      </c>
      <c r="Q16" s="1">
        <v>46265</v>
      </c>
      <c r="R16" s="2">
        <v>1967.4</v>
      </c>
      <c r="S16">
        <f t="shared" si="4"/>
        <v>-2.1388778352566654E-2</v>
      </c>
      <c r="U16" s="1">
        <v>46265</v>
      </c>
      <c r="V16" s="2">
        <v>46025.55</v>
      </c>
      <c r="W16">
        <f t="shared" si="5"/>
        <v>-1.686318487664204E-2</v>
      </c>
    </row>
    <row r="17" spans="1:23" x14ac:dyDescent="0.25">
      <c r="A17" s="1">
        <v>46262</v>
      </c>
      <c r="B17">
        <v>386</v>
      </c>
      <c r="C17">
        <f t="shared" si="0"/>
        <v>-5.1786639047122899E-4</v>
      </c>
      <c r="E17" s="1">
        <v>46262</v>
      </c>
      <c r="F17" s="2">
        <v>5308.5</v>
      </c>
      <c r="G17">
        <f t="shared" si="1"/>
        <v>1.9818799546998866E-3</v>
      </c>
      <c r="I17" s="1">
        <v>46262</v>
      </c>
      <c r="J17" s="2">
        <v>1454.6</v>
      </c>
      <c r="K17">
        <f t="shared" si="2"/>
        <v>3.1724137931033857E-3</v>
      </c>
      <c r="M17" s="1">
        <v>46262</v>
      </c>
      <c r="N17">
        <v>266</v>
      </c>
      <c r="O17">
        <f t="shared" si="3"/>
        <v>-1.1152416356877323E-2</v>
      </c>
      <c r="Q17" s="1">
        <v>46262</v>
      </c>
      <c r="R17" s="2">
        <v>2010.4</v>
      </c>
      <c r="S17">
        <f t="shared" si="4"/>
        <v>6.9686411149830316E-4</v>
      </c>
      <c r="U17" s="1">
        <v>46262</v>
      </c>
      <c r="V17" s="2">
        <v>46815</v>
      </c>
      <c r="W17">
        <f t="shared" si="5"/>
        <v>-4.5810746016675813E-3</v>
      </c>
    </row>
    <row r="18" spans="1:23" x14ac:dyDescent="0.25">
      <c r="A18" s="1">
        <v>46261</v>
      </c>
      <c r="B18">
        <v>386.2</v>
      </c>
      <c r="C18">
        <f t="shared" si="0"/>
        <v>-1.5298317185109638E-2</v>
      </c>
      <c r="E18" s="1">
        <v>46261</v>
      </c>
      <c r="F18" s="2">
        <v>5298</v>
      </c>
      <c r="G18">
        <f t="shared" si="1"/>
        <v>-2.2598870056497176E-3</v>
      </c>
      <c r="I18" s="1">
        <v>46261</v>
      </c>
      <c r="J18" s="2">
        <v>1450</v>
      </c>
      <c r="K18">
        <f t="shared" si="2"/>
        <v>-1.0334137099552187E-3</v>
      </c>
      <c r="M18" s="1">
        <v>46261</v>
      </c>
      <c r="N18">
        <v>269</v>
      </c>
      <c r="O18">
        <f t="shared" si="3"/>
        <v>-4.6253469010175763E-3</v>
      </c>
      <c r="Q18" s="1">
        <v>46261</v>
      </c>
      <c r="R18" s="2">
        <v>2009</v>
      </c>
      <c r="S18">
        <f t="shared" si="4"/>
        <v>-5.9376546264225628E-3</v>
      </c>
      <c r="U18" s="1">
        <v>46261</v>
      </c>
      <c r="V18" s="2">
        <v>47030.45</v>
      </c>
      <c r="W18">
        <f t="shared" si="5"/>
        <v>-4.7076475729532869E-3</v>
      </c>
    </row>
    <row r="19" spans="1:23" x14ac:dyDescent="0.25">
      <c r="A19" s="1">
        <v>46260</v>
      </c>
      <c r="B19">
        <v>392.2</v>
      </c>
      <c r="C19">
        <f t="shared" si="0"/>
        <v>-7.2142766738388115E-3</v>
      </c>
      <c r="E19" s="1">
        <v>46260</v>
      </c>
      <c r="F19" s="2">
        <v>5310</v>
      </c>
      <c r="G19">
        <f t="shared" si="1"/>
        <v>-1.3469577333952624E-2</v>
      </c>
      <c r="I19" s="1">
        <v>46260</v>
      </c>
      <c r="J19" s="2">
        <v>1451.5</v>
      </c>
      <c r="K19">
        <f t="shared" si="2"/>
        <v>-1.8593644354293441E-2</v>
      </c>
      <c r="M19" s="1">
        <v>46260</v>
      </c>
      <c r="N19">
        <v>270.25</v>
      </c>
      <c r="O19">
        <f t="shared" si="3"/>
        <v>-4.2372881355931371E-3</v>
      </c>
      <c r="Q19" s="1">
        <v>46260</v>
      </c>
      <c r="R19" s="2">
        <v>2021</v>
      </c>
      <c r="S19">
        <f t="shared" si="4"/>
        <v>-1.5808714553898061E-3</v>
      </c>
      <c r="U19" s="1">
        <v>46260</v>
      </c>
      <c r="V19" s="2">
        <v>47252.9</v>
      </c>
      <c r="W19">
        <f t="shared" si="5"/>
        <v>-9.5174812055684906E-3</v>
      </c>
    </row>
    <row r="20" spans="1:23" x14ac:dyDescent="0.25">
      <c r="A20" s="1">
        <v>46259</v>
      </c>
      <c r="B20">
        <v>395.05</v>
      </c>
      <c r="C20">
        <f t="shared" si="0"/>
        <v>-8.533065629313533E-3</v>
      </c>
      <c r="E20" s="1">
        <v>46259</v>
      </c>
      <c r="F20" s="2">
        <v>5382.5</v>
      </c>
      <c r="G20">
        <f t="shared" si="1"/>
        <v>1.3462624741103371E-2</v>
      </c>
      <c r="I20" s="1">
        <v>46259</v>
      </c>
      <c r="J20" s="2">
        <v>1479</v>
      </c>
      <c r="K20">
        <f t="shared" si="2"/>
        <v>5.2334670019710773E-3</v>
      </c>
      <c r="M20" s="1">
        <v>46259</v>
      </c>
      <c r="N20">
        <v>271.39999999999998</v>
      </c>
      <c r="O20">
        <f t="shared" si="3"/>
        <v>6.3032999629217233E-3</v>
      </c>
      <c r="Q20" s="1">
        <v>46259</v>
      </c>
      <c r="R20" s="2">
        <v>2024.2</v>
      </c>
      <c r="S20">
        <f t="shared" si="4"/>
        <v>-2.8571428571428346E-3</v>
      </c>
      <c r="U20" s="1">
        <v>46259</v>
      </c>
      <c r="V20" s="2">
        <v>47706.95</v>
      </c>
      <c r="W20">
        <f t="shared" si="5"/>
        <v>3.7693728722977744E-3</v>
      </c>
    </row>
    <row r="21" spans="1:23" x14ac:dyDescent="0.25">
      <c r="A21" s="1">
        <v>46258</v>
      </c>
      <c r="B21">
        <v>398.45</v>
      </c>
      <c r="C21">
        <f t="shared" si="0"/>
        <v>-5.1186017478152598E-3</v>
      </c>
      <c r="E21" s="1">
        <v>46258</v>
      </c>
      <c r="F21" s="2">
        <v>5311</v>
      </c>
      <c r="G21">
        <f t="shared" si="1"/>
        <v>-1.0065237651444549E-2</v>
      </c>
      <c r="I21" s="1">
        <v>46258</v>
      </c>
      <c r="J21" s="2">
        <v>1471.3</v>
      </c>
      <c r="K21">
        <f t="shared" si="2"/>
        <v>-3.9266129578227303E-3</v>
      </c>
      <c r="M21" s="1">
        <v>46258</v>
      </c>
      <c r="N21">
        <v>269.7</v>
      </c>
      <c r="O21">
        <f t="shared" si="3"/>
        <v>1.1135857461024921E-3</v>
      </c>
      <c r="Q21" s="1">
        <v>46258</v>
      </c>
      <c r="R21" s="2">
        <v>2030</v>
      </c>
      <c r="S21">
        <f t="shared" si="4"/>
        <v>7.4441687344913151E-3</v>
      </c>
      <c r="U21" s="1">
        <v>46258</v>
      </c>
      <c r="V21" s="2">
        <v>47527.8</v>
      </c>
      <c r="W21">
        <f t="shared" si="5"/>
        <v>3.5465508477531649E-4</v>
      </c>
    </row>
    <row r="22" spans="1:23" x14ac:dyDescent="0.25">
      <c r="A22" s="1">
        <v>46255</v>
      </c>
      <c r="B22">
        <v>400.5</v>
      </c>
      <c r="C22">
        <f t="shared" si="0"/>
        <v>1.25E-3</v>
      </c>
      <c r="E22" s="1">
        <v>46255</v>
      </c>
      <c r="F22" s="2">
        <v>5365</v>
      </c>
      <c r="G22">
        <f t="shared" si="1"/>
        <v>-3.2984859408795961E-2</v>
      </c>
      <c r="I22" s="1">
        <v>46255</v>
      </c>
      <c r="J22" s="2">
        <v>1477.1</v>
      </c>
      <c r="K22">
        <f t="shared" si="2"/>
        <v>1.3100137174211187E-2</v>
      </c>
      <c r="M22" s="1">
        <v>46255</v>
      </c>
      <c r="N22">
        <v>269.39999999999998</v>
      </c>
      <c r="O22">
        <f t="shared" si="3"/>
        <v>-8.2827167310877969E-3</v>
      </c>
      <c r="Q22" s="1">
        <v>46255</v>
      </c>
      <c r="R22" s="2">
        <v>2015</v>
      </c>
      <c r="S22">
        <f t="shared" si="4"/>
        <v>-6.41025641025641E-3</v>
      </c>
      <c r="U22" s="1">
        <v>46255</v>
      </c>
      <c r="V22" s="2">
        <v>47510.95</v>
      </c>
      <c r="W22">
        <f t="shared" si="5"/>
        <v>-7.3605532428325056E-3</v>
      </c>
    </row>
    <row r="23" spans="1:23" x14ac:dyDescent="0.25">
      <c r="A23" s="1">
        <v>46254</v>
      </c>
      <c r="B23">
        <v>400</v>
      </c>
      <c r="C23">
        <f t="shared" si="0"/>
        <v>6.2539086929330832E-4</v>
      </c>
      <c r="E23" s="1">
        <v>46254</v>
      </c>
      <c r="F23" s="2">
        <v>5548</v>
      </c>
      <c r="G23">
        <f t="shared" si="1"/>
        <v>1.7421602787456445E-2</v>
      </c>
      <c r="I23" s="1">
        <v>46254</v>
      </c>
      <c r="J23" s="2">
        <v>1458</v>
      </c>
      <c r="K23">
        <f t="shared" si="2"/>
        <v>-4.7781569965870303E-3</v>
      </c>
      <c r="M23" s="1">
        <v>46254</v>
      </c>
      <c r="N23">
        <v>271.64999999999998</v>
      </c>
      <c r="O23">
        <f t="shared" si="3"/>
        <v>1.722523871934082E-2</v>
      </c>
      <c r="Q23" s="1">
        <v>46254</v>
      </c>
      <c r="R23" s="2">
        <v>2028</v>
      </c>
      <c r="S23">
        <f t="shared" si="4"/>
        <v>3.6126094917602585E-3</v>
      </c>
      <c r="U23" s="1">
        <v>46254</v>
      </c>
      <c r="V23" s="2">
        <v>47863.25</v>
      </c>
      <c r="W23">
        <f t="shared" si="5"/>
        <v>8.2013485304556506E-3</v>
      </c>
    </row>
    <row r="24" spans="1:23" x14ac:dyDescent="0.25">
      <c r="A24" s="1">
        <v>46253</v>
      </c>
      <c r="B24">
        <v>399.75</v>
      </c>
      <c r="C24">
        <f t="shared" si="0"/>
        <v>-9.2936802973977699E-3</v>
      </c>
      <c r="E24" s="1">
        <v>46253</v>
      </c>
      <c r="F24" s="2">
        <v>5453</v>
      </c>
      <c r="G24">
        <f t="shared" si="1"/>
        <v>-7.6433121019108281E-3</v>
      </c>
      <c r="I24" s="1">
        <v>46253</v>
      </c>
      <c r="J24" s="2">
        <v>1465</v>
      </c>
      <c r="K24">
        <f t="shared" si="2"/>
        <v>1.7094017094017094E-3</v>
      </c>
      <c r="M24" s="1">
        <v>46253</v>
      </c>
      <c r="N24">
        <v>267.05</v>
      </c>
      <c r="O24">
        <f t="shared" si="3"/>
        <v>-1.0925925925925884E-2</v>
      </c>
      <c r="Q24" s="1">
        <v>46253</v>
      </c>
      <c r="R24" s="2">
        <v>2020.7</v>
      </c>
      <c r="S24">
        <f t="shared" si="4"/>
        <v>-7.0270270270270047E-3</v>
      </c>
      <c r="U24" s="1">
        <v>46253</v>
      </c>
      <c r="V24" s="2">
        <v>47473.9</v>
      </c>
      <c r="W24">
        <f t="shared" si="5"/>
        <v>-5.4656141850390376E-3</v>
      </c>
    </row>
    <row r="25" spans="1:23" x14ac:dyDescent="0.25">
      <c r="A25" s="1">
        <v>46252</v>
      </c>
      <c r="B25">
        <v>403.5</v>
      </c>
      <c r="C25">
        <f t="shared" si="0"/>
        <v>-8.1120943952802636E-3</v>
      </c>
      <c r="E25" s="1">
        <v>46252</v>
      </c>
      <c r="F25" s="2">
        <v>5495</v>
      </c>
      <c r="G25">
        <f t="shared" si="1"/>
        <v>-4.70929179496468E-3</v>
      </c>
      <c r="I25" s="1">
        <v>46252</v>
      </c>
      <c r="J25" s="2">
        <v>1462.5</v>
      </c>
      <c r="K25">
        <f t="shared" si="2"/>
        <v>-5.1020408163265302E-3</v>
      </c>
      <c r="M25" s="1">
        <v>46252</v>
      </c>
      <c r="N25">
        <v>270</v>
      </c>
      <c r="O25">
        <f t="shared" si="3"/>
        <v>-1.1170115363486582E-2</v>
      </c>
      <c r="Q25" s="1">
        <v>46252</v>
      </c>
      <c r="R25" s="2">
        <v>2035</v>
      </c>
      <c r="S25">
        <f t="shared" si="4"/>
        <v>-9.7323600973236012E-3</v>
      </c>
      <c r="U25" s="1">
        <v>46252</v>
      </c>
      <c r="V25" s="2">
        <v>47734.8</v>
      </c>
      <c r="W25">
        <f t="shared" si="5"/>
        <v>-7.696697124314391E-3</v>
      </c>
    </row>
    <row r="26" spans="1:23" x14ac:dyDescent="0.25">
      <c r="A26" s="1">
        <v>46251</v>
      </c>
      <c r="B26">
        <v>406.8</v>
      </c>
      <c r="C26">
        <f t="shared" si="0"/>
        <v>3.8247995064775112E-3</v>
      </c>
      <c r="E26" s="1">
        <v>46251</v>
      </c>
      <c r="F26" s="2">
        <v>5521</v>
      </c>
      <c r="G26">
        <f t="shared" si="1"/>
        <v>-6.6570708888089242E-3</v>
      </c>
      <c r="I26" s="1">
        <v>46251</v>
      </c>
      <c r="J26" s="2">
        <v>1470</v>
      </c>
      <c r="K26">
        <f t="shared" si="2"/>
        <v>-1.9411646988192855E-2</v>
      </c>
      <c r="M26" s="1">
        <v>46251</v>
      </c>
      <c r="N26">
        <v>273.05</v>
      </c>
      <c r="O26">
        <f t="shared" si="3"/>
        <v>-1.8511861969805813E-2</v>
      </c>
      <c r="Q26" s="1">
        <v>46251</v>
      </c>
      <c r="R26" s="2">
        <v>2055</v>
      </c>
      <c r="S26">
        <f t="shared" si="4"/>
        <v>-1.059220028887819E-2</v>
      </c>
      <c r="U26" s="1">
        <v>46251</v>
      </c>
      <c r="V26" s="2">
        <v>48105.05</v>
      </c>
      <c r="W26">
        <f t="shared" si="5"/>
        <v>-1.0490578534836434E-2</v>
      </c>
    </row>
    <row r="27" spans="1:23" x14ac:dyDescent="0.25">
      <c r="A27" s="1">
        <v>46248</v>
      </c>
      <c r="B27">
        <v>405.25</v>
      </c>
      <c r="C27">
        <f t="shared" si="0"/>
        <v>-1.1585365853658536E-2</v>
      </c>
      <c r="E27" s="1">
        <v>46248</v>
      </c>
      <c r="F27" s="2">
        <v>5558</v>
      </c>
      <c r="G27">
        <f t="shared" si="1"/>
        <v>-1.0151380231522707E-2</v>
      </c>
      <c r="I27" s="1">
        <v>46248</v>
      </c>
      <c r="J27" s="2">
        <v>1499.1</v>
      </c>
      <c r="K27">
        <f t="shared" si="2"/>
        <v>-5.1761895281705363E-3</v>
      </c>
      <c r="M27" s="1">
        <v>46248</v>
      </c>
      <c r="N27">
        <v>278.2</v>
      </c>
      <c r="O27">
        <f t="shared" si="3"/>
        <v>-1.0771992818671863E-3</v>
      </c>
      <c r="Q27" s="1">
        <v>46248</v>
      </c>
      <c r="R27" s="2">
        <v>2077</v>
      </c>
      <c r="S27">
        <f t="shared" si="4"/>
        <v>-7.1701720841300188E-3</v>
      </c>
      <c r="U27" s="1">
        <v>46248</v>
      </c>
      <c r="V27" s="2">
        <v>48615.05</v>
      </c>
      <c r="W27">
        <f t="shared" si="5"/>
        <v>-4.5508248818014099E-3</v>
      </c>
    </row>
    <row r="28" spans="1:23" x14ac:dyDescent="0.25">
      <c r="A28" s="1">
        <v>46247</v>
      </c>
      <c r="B28">
        <v>410</v>
      </c>
      <c r="C28">
        <f t="shared" si="0"/>
        <v>-3.0395136778115501E-3</v>
      </c>
      <c r="E28" s="1">
        <v>46247</v>
      </c>
      <c r="F28" s="2">
        <v>5615</v>
      </c>
      <c r="G28">
        <f t="shared" si="1"/>
        <v>-5.4025329908776905E-3</v>
      </c>
      <c r="I28" s="1">
        <v>46247</v>
      </c>
      <c r="J28" s="2">
        <v>1506.9</v>
      </c>
      <c r="K28">
        <f t="shared" si="2"/>
        <v>-6.6357000663509654E-5</v>
      </c>
      <c r="M28" s="1">
        <v>46247</v>
      </c>
      <c r="N28">
        <v>278.5</v>
      </c>
      <c r="O28">
        <f t="shared" si="3"/>
        <v>8.5098678254572624E-3</v>
      </c>
      <c r="Q28" s="1">
        <v>46247</v>
      </c>
      <c r="R28" s="2">
        <v>2092</v>
      </c>
      <c r="S28">
        <f t="shared" si="4"/>
        <v>1.4057198254968492E-2</v>
      </c>
      <c r="U28" s="1">
        <v>46247</v>
      </c>
      <c r="V28" s="2">
        <v>48837.3</v>
      </c>
      <c r="W28">
        <f t="shared" si="5"/>
        <v>8.4236108888515824E-3</v>
      </c>
    </row>
    <row r="29" spans="1:23" x14ac:dyDescent="0.25">
      <c r="A29" s="1">
        <v>46246</v>
      </c>
      <c r="B29">
        <v>411.25</v>
      </c>
      <c r="C29">
        <f t="shared" si="0"/>
        <v>-3.3927056827819635E-3</v>
      </c>
      <c r="E29" s="1">
        <v>46246</v>
      </c>
      <c r="F29" s="2">
        <v>5645.5</v>
      </c>
      <c r="G29">
        <f t="shared" si="1"/>
        <v>8.4851732761700611E-3</v>
      </c>
      <c r="I29" s="1">
        <v>46246</v>
      </c>
      <c r="J29" s="2">
        <v>1507</v>
      </c>
      <c r="K29">
        <f t="shared" si="2"/>
        <v>9.2418965979104966E-3</v>
      </c>
      <c r="M29" s="1">
        <v>46246</v>
      </c>
      <c r="N29">
        <v>276.14999999999998</v>
      </c>
      <c r="O29">
        <f t="shared" si="3"/>
        <v>-1.0215053763440942E-2</v>
      </c>
      <c r="Q29" s="1">
        <v>46246</v>
      </c>
      <c r="R29" s="2">
        <v>2063</v>
      </c>
      <c r="S29">
        <f t="shared" si="4"/>
        <v>-9.2014141120639779E-4</v>
      </c>
      <c r="U29" s="1">
        <v>46246</v>
      </c>
      <c r="V29" s="2">
        <v>48429.35</v>
      </c>
      <c r="W29">
        <f t="shared" si="5"/>
        <v>-7.3481409818223183E-3</v>
      </c>
    </row>
    <row r="30" spans="1:23" x14ac:dyDescent="0.25">
      <c r="A30" s="1">
        <v>46245</v>
      </c>
      <c r="B30">
        <v>412.65</v>
      </c>
      <c r="C30">
        <f t="shared" si="0"/>
        <v>-3.7421535490101674E-3</v>
      </c>
      <c r="E30" s="1">
        <v>46245</v>
      </c>
      <c r="F30" s="2">
        <v>5598</v>
      </c>
      <c r="G30">
        <f t="shared" si="1"/>
        <v>-4.5345425446785808E-3</v>
      </c>
      <c r="I30" s="1">
        <v>46245</v>
      </c>
      <c r="J30" s="2">
        <v>1493.2</v>
      </c>
      <c r="K30">
        <f t="shared" si="2"/>
        <v>-2.3158445636530071E-2</v>
      </c>
      <c r="M30" s="1">
        <v>46245</v>
      </c>
      <c r="N30">
        <v>279</v>
      </c>
      <c r="O30">
        <f t="shared" si="3"/>
        <v>-1.2913497258092968E-2</v>
      </c>
      <c r="Q30" s="1">
        <v>46245</v>
      </c>
      <c r="R30" s="2">
        <v>2064.9</v>
      </c>
      <c r="S30">
        <f t="shared" si="4"/>
        <v>-1.068417018014552E-2</v>
      </c>
      <c r="U30" s="1">
        <v>46245</v>
      </c>
      <c r="V30" s="2">
        <v>48787.85</v>
      </c>
      <c r="W30">
        <f t="shared" si="5"/>
        <v>-1.1663452422432724E-2</v>
      </c>
    </row>
    <row r="31" spans="1:23" x14ac:dyDescent="0.25">
      <c r="A31" s="1">
        <v>46244</v>
      </c>
      <c r="B31">
        <v>414.2</v>
      </c>
      <c r="C31">
        <f t="shared" si="0"/>
        <v>1.0243902439024363E-2</v>
      </c>
      <c r="E31" s="1">
        <v>46244</v>
      </c>
      <c r="F31" s="2">
        <v>5623.5</v>
      </c>
      <c r="G31">
        <f t="shared" si="1"/>
        <v>2.05989110707804E-2</v>
      </c>
      <c r="I31" s="1">
        <v>46244</v>
      </c>
      <c r="J31" s="2">
        <v>1528.6</v>
      </c>
      <c r="K31">
        <f t="shared" si="2"/>
        <v>-7.4025974025974618E-3</v>
      </c>
      <c r="M31" s="1">
        <v>46244</v>
      </c>
      <c r="N31">
        <v>282.64999999999998</v>
      </c>
      <c r="O31">
        <f t="shared" si="3"/>
        <v>-1.2058720727018683E-2</v>
      </c>
      <c r="Q31" s="1">
        <v>46244</v>
      </c>
      <c r="R31" s="2">
        <v>2087.1999999999998</v>
      </c>
      <c r="S31">
        <f t="shared" si="4"/>
        <v>-4.1984732824428351E-3</v>
      </c>
      <c r="U31" s="1">
        <v>46244</v>
      </c>
      <c r="V31" s="2">
        <v>49363.6</v>
      </c>
      <c r="W31">
        <f t="shared" si="5"/>
        <v>-1.4483606822668575E-3</v>
      </c>
    </row>
    <row r="32" spans="1:23" x14ac:dyDescent="0.25">
      <c r="A32" s="1">
        <v>46241</v>
      </c>
      <c r="B32">
        <v>410</v>
      </c>
      <c r="C32">
        <f t="shared" si="0"/>
        <v>-3.1607099440797747E-3</v>
      </c>
      <c r="E32" s="1">
        <v>46241</v>
      </c>
      <c r="F32" s="2">
        <v>5510</v>
      </c>
      <c r="G32">
        <f t="shared" si="1"/>
        <v>1.9615099925980754E-2</v>
      </c>
      <c r="I32" s="1">
        <v>46241</v>
      </c>
      <c r="J32" s="2">
        <v>1540</v>
      </c>
      <c r="K32">
        <f t="shared" si="2"/>
        <v>3.2573289902280132E-3</v>
      </c>
      <c r="M32" s="1">
        <v>46241</v>
      </c>
      <c r="N32">
        <v>286.10000000000002</v>
      </c>
      <c r="O32">
        <f t="shared" si="3"/>
        <v>6.9954529555804645E-4</v>
      </c>
      <c r="Q32" s="1">
        <v>46241</v>
      </c>
      <c r="R32" s="2">
        <v>2096</v>
      </c>
      <c r="S32">
        <f t="shared" si="4"/>
        <v>7.93459966338062E-3</v>
      </c>
      <c r="U32" s="1">
        <v>46241</v>
      </c>
      <c r="V32" s="2">
        <v>49435.199999999997</v>
      </c>
      <c r="W32">
        <f t="shared" si="5"/>
        <v>1.3236823688951567E-3</v>
      </c>
    </row>
    <row r="33" spans="1:23" x14ac:dyDescent="0.25">
      <c r="A33" s="1">
        <v>46240</v>
      </c>
      <c r="B33">
        <v>411.3</v>
      </c>
      <c r="C33">
        <f t="shared" si="0"/>
        <v>-6.5217391304347554E-3</v>
      </c>
      <c r="E33" s="1">
        <v>46240</v>
      </c>
      <c r="F33" s="2">
        <v>5404</v>
      </c>
      <c r="G33">
        <f t="shared" si="1"/>
        <v>-6.6176470588235293E-3</v>
      </c>
      <c r="I33" s="1">
        <v>46240</v>
      </c>
      <c r="J33" s="2">
        <v>1535</v>
      </c>
      <c r="K33">
        <f t="shared" si="2"/>
        <v>9.8684210526315784E-3</v>
      </c>
      <c r="M33" s="1">
        <v>46240</v>
      </c>
      <c r="N33">
        <v>285.89999999999998</v>
      </c>
      <c r="O33">
        <f t="shared" si="3"/>
        <v>-3.6591740721380428E-3</v>
      </c>
      <c r="Q33" s="1">
        <v>46240</v>
      </c>
      <c r="R33" s="2">
        <v>2079.5</v>
      </c>
      <c r="S33">
        <f t="shared" si="4"/>
        <v>-2.781374382582929E-3</v>
      </c>
      <c r="U33" s="1">
        <v>46240</v>
      </c>
      <c r="V33" s="2">
        <v>49369.85</v>
      </c>
      <c r="W33">
        <f t="shared" si="5"/>
        <v>-2.7640811202125112E-4</v>
      </c>
    </row>
    <row r="34" spans="1:23" x14ac:dyDescent="0.25">
      <c r="A34" s="1">
        <v>46239</v>
      </c>
      <c r="B34">
        <v>414</v>
      </c>
      <c r="C34">
        <f t="shared" si="0"/>
        <v>1.0618820944708954E-2</v>
      </c>
      <c r="E34" s="1">
        <v>46239</v>
      </c>
      <c r="F34" s="2">
        <v>5440</v>
      </c>
      <c r="G34">
        <f t="shared" si="1"/>
        <v>-6.9368382621394671E-3</v>
      </c>
      <c r="I34" s="1">
        <v>46239</v>
      </c>
      <c r="J34" s="2">
        <v>1520</v>
      </c>
      <c r="K34">
        <f t="shared" si="2"/>
        <v>0</v>
      </c>
      <c r="M34" s="1">
        <v>46239</v>
      </c>
      <c r="N34">
        <v>286.95</v>
      </c>
      <c r="O34">
        <f t="shared" si="3"/>
        <v>-7.0934256055363715E-3</v>
      </c>
      <c r="Q34" s="1">
        <v>46239</v>
      </c>
      <c r="R34" s="2">
        <v>2085.3000000000002</v>
      </c>
      <c r="S34">
        <f t="shared" si="4"/>
        <v>-5.3422370617695293E-3</v>
      </c>
      <c r="U34" s="1">
        <v>46239</v>
      </c>
      <c r="V34" s="2">
        <v>49383.5</v>
      </c>
      <c r="W34">
        <f t="shared" si="5"/>
        <v>-2.8994227402775155E-3</v>
      </c>
    </row>
    <row r="35" spans="1:23" x14ac:dyDescent="0.25">
      <c r="A35" s="1">
        <v>46238</v>
      </c>
      <c r="B35">
        <v>409.65</v>
      </c>
      <c r="C35">
        <f t="shared" si="0"/>
        <v>-3.7928604978863398E-2</v>
      </c>
      <c r="E35" s="1">
        <v>46238</v>
      </c>
      <c r="F35" s="2">
        <v>5478</v>
      </c>
      <c r="G35">
        <f t="shared" si="1"/>
        <v>-9.5823540047007775E-3</v>
      </c>
      <c r="I35" s="1">
        <v>46238</v>
      </c>
      <c r="J35" s="2">
        <v>1520</v>
      </c>
      <c r="K35">
        <f t="shared" si="2"/>
        <v>-6.5359477124183009E-3</v>
      </c>
      <c r="M35" s="1">
        <v>46238</v>
      </c>
      <c r="N35">
        <v>289</v>
      </c>
      <c r="O35">
        <f t="shared" si="3"/>
        <v>6.9686411149825784E-3</v>
      </c>
      <c r="Q35" s="1">
        <v>46238</v>
      </c>
      <c r="R35" s="2">
        <v>2096.5</v>
      </c>
      <c r="S35">
        <f t="shared" si="4"/>
        <v>-1.941066417212348E-2</v>
      </c>
      <c r="U35" s="1">
        <v>46238</v>
      </c>
      <c r="V35" s="2">
        <v>49527.1</v>
      </c>
      <c r="W35">
        <f t="shared" si="5"/>
        <v>-8.7760379140848898E-3</v>
      </c>
    </row>
    <row r="36" spans="1:23" x14ac:dyDescent="0.25">
      <c r="A36" s="1">
        <v>46237</v>
      </c>
      <c r="B36">
        <v>425.8</v>
      </c>
      <c r="C36">
        <f t="shared" si="0"/>
        <v>1.0321509075809759E-2</v>
      </c>
      <c r="E36" s="1">
        <v>46237</v>
      </c>
      <c r="F36" s="2">
        <v>5531</v>
      </c>
      <c r="G36">
        <f t="shared" si="1"/>
        <v>2.1139111972676081E-2</v>
      </c>
      <c r="I36" s="1">
        <v>46237</v>
      </c>
      <c r="J36" s="2">
        <v>1530</v>
      </c>
      <c r="K36">
        <f t="shared" si="2"/>
        <v>1.3513513513513575E-2</v>
      </c>
      <c r="M36" s="1">
        <v>46237</v>
      </c>
      <c r="N36">
        <v>287</v>
      </c>
      <c r="O36">
        <f t="shared" si="3"/>
        <v>2.1352313167259787E-2</v>
      </c>
      <c r="Q36" s="1">
        <v>46237</v>
      </c>
      <c r="R36" s="2">
        <v>2138</v>
      </c>
      <c r="S36">
        <f t="shared" si="4"/>
        <v>1.7465378575167664E-2</v>
      </c>
      <c r="U36" s="1">
        <v>46237</v>
      </c>
      <c r="V36" s="2">
        <v>49965.599999999999</v>
      </c>
      <c r="W36">
        <f t="shared" si="5"/>
        <v>1.719013379151978E-2</v>
      </c>
    </row>
    <row r="37" spans="1:23" x14ac:dyDescent="0.25">
      <c r="A37" s="1">
        <v>46234</v>
      </c>
      <c r="B37">
        <v>421.45</v>
      </c>
      <c r="C37">
        <f t="shared" si="0"/>
        <v>-1.0912931236798953E-2</v>
      </c>
      <c r="E37" s="1">
        <v>46234</v>
      </c>
      <c r="F37" s="2">
        <v>5416.5</v>
      </c>
      <c r="G37">
        <f t="shared" si="1"/>
        <v>-1.95492804778713E-2</v>
      </c>
      <c r="I37" s="1">
        <v>46234</v>
      </c>
      <c r="J37" s="2">
        <v>1509.6</v>
      </c>
      <c r="K37">
        <f t="shared" si="2"/>
        <v>-7.2992700729927898E-3</v>
      </c>
      <c r="M37" s="1">
        <v>46234</v>
      </c>
      <c r="N37">
        <v>281</v>
      </c>
      <c r="O37">
        <f t="shared" si="3"/>
        <v>-1.4208033678302092E-2</v>
      </c>
      <c r="Q37" s="1">
        <v>46234</v>
      </c>
      <c r="R37" s="2">
        <v>2101.3000000000002</v>
      </c>
      <c r="S37">
        <f t="shared" si="4"/>
        <v>-3.1310783243986475E-3</v>
      </c>
      <c r="U37" s="1">
        <v>46234</v>
      </c>
      <c r="V37" s="2">
        <v>49121.2</v>
      </c>
      <c r="W37">
        <f t="shared" si="5"/>
        <v>-1.0492113037233672E-2</v>
      </c>
    </row>
    <row r="38" spans="1:23" x14ac:dyDescent="0.25">
      <c r="A38" s="1">
        <v>46233</v>
      </c>
      <c r="B38">
        <v>426.1</v>
      </c>
      <c r="C38">
        <f t="shared" si="0"/>
        <v>-1.7523633848282146E-2</v>
      </c>
      <c r="E38" s="1">
        <v>46233</v>
      </c>
      <c r="F38" s="2">
        <v>5524.5</v>
      </c>
      <c r="G38">
        <f t="shared" si="1"/>
        <v>1.2686905301314E-3</v>
      </c>
      <c r="I38" s="1">
        <v>46233</v>
      </c>
      <c r="J38" s="2">
        <v>1520.7</v>
      </c>
      <c r="K38">
        <f t="shared" si="2"/>
        <v>1.1574536020754402E-2</v>
      </c>
      <c r="M38" s="1">
        <v>46233</v>
      </c>
      <c r="N38">
        <v>285.05</v>
      </c>
      <c r="O38">
        <f t="shared" si="3"/>
        <v>-4.1921397379912264E-3</v>
      </c>
      <c r="Q38" s="1">
        <v>46233</v>
      </c>
      <c r="R38" s="2">
        <v>2107.9</v>
      </c>
      <c r="S38">
        <f t="shared" si="4"/>
        <v>-4.6746623854944233E-3</v>
      </c>
      <c r="U38" s="1">
        <v>46233</v>
      </c>
      <c r="V38" s="2">
        <v>49642.05</v>
      </c>
      <c r="W38">
        <f t="shared" si="5"/>
        <v>-9.7805120279164282E-4</v>
      </c>
    </row>
    <row r="39" spans="1:23" x14ac:dyDescent="0.25">
      <c r="A39" s="1">
        <v>46232</v>
      </c>
      <c r="B39">
        <v>433.7</v>
      </c>
      <c r="C39">
        <f t="shared" si="0"/>
        <v>2.143193593970788E-2</v>
      </c>
      <c r="E39" s="1">
        <v>46232</v>
      </c>
      <c r="F39" s="2">
        <v>5517.5</v>
      </c>
      <c r="G39">
        <f t="shared" si="1"/>
        <v>7.1187368805329925E-3</v>
      </c>
      <c r="I39" s="1">
        <v>46232</v>
      </c>
      <c r="J39" s="2">
        <v>1503.3</v>
      </c>
      <c r="K39">
        <f t="shared" si="2"/>
        <v>7.7088081512267067E-3</v>
      </c>
      <c r="M39" s="1">
        <v>46232</v>
      </c>
      <c r="N39">
        <v>286.25</v>
      </c>
      <c r="O39">
        <f t="shared" si="3"/>
        <v>5.6209379940278335E-3</v>
      </c>
      <c r="Q39" s="1">
        <v>46232</v>
      </c>
      <c r="R39" s="2">
        <v>2117.8000000000002</v>
      </c>
      <c r="S39">
        <f t="shared" si="4"/>
        <v>4.701636426558567E-2</v>
      </c>
      <c r="U39" s="1">
        <v>46232</v>
      </c>
      <c r="V39" s="2">
        <v>49690.65</v>
      </c>
      <c r="W39">
        <f t="shared" si="5"/>
        <v>1.6559536181599561E-2</v>
      </c>
    </row>
    <row r="40" spans="1:23" x14ac:dyDescent="0.25">
      <c r="A40" s="1">
        <v>46231</v>
      </c>
      <c r="B40">
        <v>424.6</v>
      </c>
      <c r="C40">
        <f t="shared" si="0"/>
        <v>-6.4350064350064346E-3</v>
      </c>
      <c r="E40" s="1">
        <v>46231</v>
      </c>
      <c r="F40" s="2">
        <v>5478.5</v>
      </c>
      <c r="G40">
        <f t="shared" si="1"/>
        <v>1.7457516946791717E-2</v>
      </c>
      <c r="I40" s="1">
        <v>46231</v>
      </c>
      <c r="J40" s="2">
        <v>1491.8</v>
      </c>
      <c r="K40">
        <f t="shared" si="2"/>
        <v>3.1602240508955153E-2</v>
      </c>
      <c r="M40" s="1">
        <v>46231</v>
      </c>
      <c r="N40">
        <v>284.64999999999998</v>
      </c>
      <c r="O40">
        <f t="shared" si="3"/>
        <v>-4.1980059471752509E-3</v>
      </c>
      <c r="Q40" s="1">
        <v>46231</v>
      </c>
      <c r="R40" s="2">
        <v>2022.7</v>
      </c>
      <c r="S40">
        <f t="shared" si="4"/>
        <v>-6.9851926791133945E-2</v>
      </c>
      <c r="U40" s="1">
        <v>46231</v>
      </c>
      <c r="V40" s="2">
        <v>48881.2</v>
      </c>
      <c r="W40">
        <f t="shared" si="5"/>
        <v>-1.3792045968106514E-2</v>
      </c>
    </row>
    <row r="41" spans="1:23" x14ac:dyDescent="0.25">
      <c r="A41" s="1">
        <v>46230</v>
      </c>
      <c r="B41">
        <v>427.35</v>
      </c>
      <c r="C41">
        <f t="shared" si="0"/>
        <v>9.80623818525528E-3</v>
      </c>
      <c r="E41" s="1">
        <v>46230</v>
      </c>
      <c r="F41" s="2">
        <v>5384.5</v>
      </c>
      <c r="G41">
        <f t="shared" si="1"/>
        <v>9.2945441026117672E-4</v>
      </c>
      <c r="I41" s="1">
        <v>46230</v>
      </c>
      <c r="J41" s="2">
        <v>1446.1</v>
      </c>
      <c r="K41">
        <f t="shared" si="2"/>
        <v>1.8011776931069685E-3</v>
      </c>
      <c r="M41" s="1">
        <v>46230</v>
      </c>
      <c r="N41">
        <v>285.85000000000002</v>
      </c>
      <c r="O41">
        <f t="shared" si="3"/>
        <v>8.4671017816194544E-3</v>
      </c>
      <c r="Q41" s="1">
        <v>46230</v>
      </c>
      <c r="R41" s="2">
        <v>2174.6</v>
      </c>
      <c r="S41">
        <f t="shared" si="4"/>
        <v>1.3799533799533758E-2</v>
      </c>
      <c r="U41" s="1">
        <v>46230</v>
      </c>
      <c r="V41" s="2">
        <v>49564.800000000003</v>
      </c>
      <c r="W41">
        <f t="shared" si="5"/>
        <v>1.0427433016738935E-2</v>
      </c>
    </row>
    <row r="42" spans="1:23" x14ac:dyDescent="0.25">
      <c r="A42" s="1">
        <v>46227</v>
      </c>
      <c r="B42">
        <v>423.2</v>
      </c>
      <c r="C42">
        <f t="shared" si="0"/>
        <v>1.18161408484016E-4</v>
      </c>
      <c r="E42" s="1">
        <v>46227</v>
      </c>
      <c r="F42" s="2">
        <v>5379.5</v>
      </c>
      <c r="G42">
        <f t="shared" si="1"/>
        <v>-1.5775798069784708E-3</v>
      </c>
      <c r="I42" s="1">
        <v>46227</v>
      </c>
      <c r="J42" s="2">
        <v>1443.5</v>
      </c>
      <c r="K42">
        <f t="shared" si="2"/>
        <v>-3.0388839008219427E-3</v>
      </c>
      <c r="M42" s="1">
        <v>46227</v>
      </c>
      <c r="N42">
        <v>283.45</v>
      </c>
      <c r="O42">
        <f t="shared" si="3"/>
        <v>7.643085673657935E-3</v>
      </c>
      <c r="Q42" s="1">
        <v>46227</v>
      </c>
      <c r="R42" s="2">
        <v>2145</v>
      </c>
      <c r="S42">
        <f t="shared" si="4"/>
        <v>-7.7713016930336665E-3</v>
      </c>
      <c r="U42" s="1">
        <v>46227</v>
      </c>
      <c r="V42" s="2">
        <v>49053.3</v>
      </c>
      <c r="W42">
        <f t="shared" si="5"/>
        <v>4.0992633562577643E-4</v>
      </c>
    </row>
    <row r="43" spans="1:23" x14ac:dyDescent="0.25">
      <c r="A43" s="1">
        <v>46226</v>
      </c>
      <c r="B43">
        <v>423.15</v>
      </c>
      <c r="C43">
        <f t="shared" si="0"/>
        <v>-7.8546307151231478E-3</v>
      </c>
      <c r="E43" s="1">
        <v>46226</v>
      </c>
      <c r="F43" s="2">
        <v>5388</v>
      </c>
      <c r="G43">
        <f t="shared" si="1"/>
        <v>-1.7774131802023516E-2</v>
      </c>
      <c r="I43" s="1">
        <v>46226</v>
      </c>
      <c r="J43" s="2">
        <v>1447.9</v>
      </c>
      <c r="K43">
        <f t="shared" si="2"/>
        <v>-3.0597214783074332E-2</v>
      </c>
      <c r="M43" s="1">
        <v>46226</v>
      </c>
      <c r="N43">
        <v>281.3</v>
      </c>
      <c r="O43">
        <f t="shared" si="3"/>
        <v>1.7806267806267807E-3</v>
      </c>
      <c r="Q43" s="1">
        <v>46226</v>
      </c>
      <c r="R43" s="2">
        <v>2161.8000000000002</v>
      </c>
      <c r="S43">
        <f t="shared" si="4"/>
        <v>3.3416875522139949E-3</v>
      </c>
      <c r="U43" s="1">
        <v>46226</v>
      </c>
      <c r="V43" s="2">
        <v>49033.2</v>
      </c>
      <c r="W43">
        <f t="shared" si="5"/>
        <v>-4.0744366674927753E-3</v>
      </c>
    </row>
    <row r="44" spans="1:23" x14ac:dyDescent="0.25">
      <c r="A44" s="1">
        <v>46225</v>
      </c>
      <c r="B44">
        <v>426.5</v>
      </c>
      <c r="C44">
        <f t="shared" si="0"/>
        <v>9.3874677305791419E-4</v>
      </c>
      <c r="E44" s="1">
        <v>46225</v>
      </c>
      <c r="F44" s="2">
        <v>5485.5</v>
      </c>
      <c r="G44">
        <f t="shared" si="1"/>
        <v>6.3845311929952575E-4</v>
      </c>
      <c r="I44" s="1">
        <v>46225</v>
      </c>
      <c r="J44" s="2">
        <v>1493.6</v>
      </c>
      <c r="K44">
        <f t="shared" si="2"/>
        <v>2.8720986293821762E-2</v>
      </c>
      <c r="M44" s="1">
        <v>46225</v>
      </c>
      <c r="N44">
        <v>280.8</v>
      </c>
      <c r="O44">
        <f t="shared" si="3"/>
        <v>-7.1174377224195238E-4</v>
      </c>
      <c r="Q44" s="1">
        <v>46225</v>
      </c>
      <c r="R44" s="2">
        <v>2154.6</v>
      </c>
      <c r="S44">
        <f t="shared" si="4"/>
        <v>5.6476079346557337E-3</v>
      </c>
      <c r="U44" s="1">
        <v>46225</v>
      </c>
      <c r="V44" s="2">
        <v>49233.8</v>
      </c>
      <c r="W44">
        <f t="shared" si="5"/>
        <v>6.4721611212417273E-3</v>
      </c>
    </row>
    <row r="45" spans="1:23" x14ac:dyDescent="0.25">
      <c r="A45" s="1">
        <v>46224</v>
      </c>
      <c r="B45">
        <v>426.1</v>
      </c>
      <c r="C45">
        <f t="shared" si="0"/>
        <v>-9.3786635404449531E-4</v>
      </c>
      <c r="E45" s="1">
        <v>46224</v>
      </c>
      <c r="F45" s="2">
        <v>5482</v>
      </c>
      <c r="G45">
        <f t="shared" si="1"/>
        <v>2.1937842778793418E-3</v>
      </c>
      <c r="I45" s="1">
        <v>46224</v>
      </c>
      <c r="J45" s="2">
        <v>1451.9</v>
      </c>
      <c r="K45">
        <f t="shared" si="2"/>
        <v>3.8719491115260575E-3</v>
      </c>
      <c r="M45" s="1">
        <v>46224</v>
      </c>
      <c r="N45">
        <v>281</v>
      </c>
      <c r="O45">
        <f t="shared" si="3"/>
        <v>-6.0134418111071411E-3</v>
      </c>
      <c r="Q45" s="1">
        <v>46224</v>
      </c>
      <c r="R45" s="2">
        <v>2142.5</v>
      </c>
      <c r="S45">
        <f t="shared" si="4"/>
        <v>1.3085946628032818E-3</v>
      </c>
      <c r="U45" s="1">
        <v>46224</v>
      </c>
      <c r="V45" s="2">
        <v>48917.2</v>
      </c>
      <c r="W45">
        <f t="shared" si="5"/>
        <v>-3.062111440476324E-3</v>
      </c>
    </row>
    <row r="46" spans="1:23" x14ac:dyDescent="0.25">
      <c r="A46" s="1">
        <v>46223</v>
      </c>
      <c r="B46">
        <v>426.5</v>
      </c>
      <c r="C46">
        <f t="shared" si="0"/>
        <v>-1.6385767790261907E-3</v>
      </c>
      <c r="E46" s="1">
        <v>46223</v>
      </c>
      <c r="F46" s="2">
        <v>5470</v>
      </c>
      <c r="G46">
        <f t="shared" si="1"/>
        <v>1.0623556581986143E-2</v>
      </c>
      <c r="I46" s="1">
        <v>46223</v>
      </c>
      <c r="J46" s="2">
        <v>1446.3</v>
      </c>
      <c r="K46">
        <f t="shared" si="2"/>
        <v>1.3382847533632223E-2</v>
      </c>
      <c r="M46" s="1">
        <v>46223</v>
      </c>
      <c r="N46">
        <v>282.7</v>
      </c>
      <c r="O46">
        <f t="shared" si="3"/>
        <v>7.1250445315283227E-3</v>
      </c>
      <c r="Q46" s="1">
        <v>46223</v>
      </c>
      <c r="R46" s="2">
        <v>2139.6999999999998</v>
      </c>
      <c r="S46">
        <f t="shared" si="4"/>
        <v>-1.9124918369252558E-3</v>
      </c>
      <c r="U46" s="1">
        <v>46223</v>
      </c>
      <c r="V46" s="2">
        <v>49067.45</v>
      </c>
      <c r="W46">
        <f t="shared" si="5"/>
        <v>6.5386359020855947E-3</v>
      </c>
    </row>
    <row r="47" spans="1:23" x14ac:dyDescent="0.25">
      <c r="A47" s="1">
        <v>46220</v>
      </c>
      <c r="B47">
        <v>427.2</v>
      </c>
      <c r="C47">
        <f t="shared" si="0"/>
        <v>-5.2392595179881242E-3</v>
      </c>
      <c r="E47" s="1">
        <v>46220</v>
      </c>
      <c r="F47" s="2">
        <v>5412.5</v>
      </c>
      <c r="G47">
        <f t="shared" si="1"/>
        <v>1.9207230957536955E-2</v>
      </c>
      <c r="I47" s="1">
        <v>46220</v>
      </c>
      <c r="J47" s="2">
        <v>1427.2</v>
      </c>
      <c r="K47">
        <f t="shared" si="2"/>
        <v>2.5992272567615352E-3</v>
      </c>
      <c r="M47" s="1">
        <v>46220</v>
      </c>
      <c r="N47">
        <v>280.7</v>
      </c>
      <c r="O47">
        <f t="shared" si="3"/>
        <v>4.8326472167530546E-3</v>
      </c>
      <c r="Q47" s="1">
        <v>46220</v>
      </c>
      <c r="R47" s="2">
        <v>2143.8000000000002</v>
      </c>
      <c r="S47">
        <f t="shared" si="4"/>
        <v>2.1635531833778161E-2</v>
      </c>
      <c r="U47" s="1">
        <v>46220</v>
      </c>
      <c r="V47" s="2">
        <v>48748.7</v>
      </c>
      <c r="W47">
        <f t="shared" si="5"/>
        <v>7.0380928772103184E-3</v>
      </c>
    </row>
    <row r="48" spans="1:23" x14ac:dyDescent="0.25">
      <c r="A48" s="1">
        <v>46219</v>
      </c>
      <c r="B48">
        <v>429.45</v>
      </c>
      <c r="C48">
        <f t="shared" si="0"/>
        <v>-4.2893577556225894E-3</v>
      </c>
      <c r="E48" s="1">
        <v>46219</v>
      </c>
      <c r="F48" s="2">
        <v>5310.5</v>
      </c>
      <c r="G48">
        <f t="shared" si="1"/>
        <v>-9.4064528266390741E-4</v>
      </c>
      <c r="I48" s="1">
        <v>46219</v>
      </c>
      <c r="J48" s="2">
        <v>1423.5</v>
      </c>
      <c r="K48">
        <f t="shared" si="2"/>
        <v>-6.3184498736316411E-4</v>
      </c>
      <c r="M48" s="1">
        <v>46219</v>
      </c>
      <c r="N48">
        <v>279.35000000000002</v>
      </c>
      <c r="O48">
        <f t="shared" si="3"/>
        <v>9.7596240737395472E-3</v>
      </c>
      <c r="Q48" s="1">
        <v>46219</v>
      </c>
      <c r="R48" s="2">
        <v>2098.4</v>
      </c>
      <c r="S48">
        <f t="shared" si="4"/>
        <v>-1.9975268714923517E-3</v>
      </c>
      <c r="U48" s="1">
        <v>46219</v>
      </c>
      <c r="V48" s="2">
        <v>48408</v>
      </c>
      <c r="W48">
        <f t="shared" si="5"/>
        <v>2.5162312447578514E-3</v>
      </c>
    </row>
    <row r="49" spans="1:23" x14ac:dyDescent="0.25">
      <c r="A49" s="1">
        <v>46218</v>
      </c>
      <c r="B49">
        <v>431.3</v>
      </c>
      <c r="C49">
        <f t="shared" si="0"/>
        <v>-7.2505466682011221E-3</v>
      </c>
      <c r="E49" s="1">
        <v>46218</v>
      </c>
      <c r="F49" s="2">
        <v>5315.5</v>
      </c>
      <c r="G49">
        <f t="shared" si="1"/>
        <v>6.0565912747231948E-3</v>
      </c>
      <c r="I49" s="1">
        <v>46218</v>
      </c>
      <c r="J49" s="2">
        <v>1424.4</v>
      </c>
      <c r="K49">
        <f t="shared" si="2"/>
        <v>-1.8919487071682561E-3</v>
      </c>
      <c r="M49" s="1">
        <v>46218</v>
      </c>
      <c r="N49">
        <v>276.64999999999998</v>
      </c>
      <c r="O49">
        <f t="shared" si="3"/>
        <v>3.9920159680637479E-3</v>
      </c>
      <c r="Q49" s="1">
        <v>46218</v>
      </c>
      <c r="R49" s="2">
        <v>2102.6</v>
      </c>
      <c r="S49">
        <f t="shared" si="4"/>
        <v>-8.3011036694651021E-3</v>
      </c>
      <c r="U49" s="1">
        <v>46218</v>
      </c>
      <c r="V49" s="2">
        <v>48286.5</v>
      </c>
      <c r="W49">
        <f t="shared" si="5"/>
        <v>-4.9139669386572705E-3</v>
      </c>
    </row>
    <row r="50" spans="1:23" x14ac:dyDescent="0.25">
      <c r="A50" s="1">
        <v>46217</v>
      </c>
      <c r="B50">
        <v>434.45</v>
      </c>
      <c r="C50">
        <f t="shared" si="0"/>
        <v>-1.0138983823194324E-2</v>
      </c>
      <c r="E50" s="1">
        <v>46217</v>
      </c>
      <c r="F50" s="2">
        <v>5283.5</v>
      </c>
      <c r="G50">
        <f t="shared" si="1"/>
        <v>-1.2152940076657006E-2</v>
      </c>
      <c r="I50" s="1">
        <v>46217</v>
      </c>
      <c r="J50" s="2">
        <v>1427.1</v>
      </c>
      <c r="K50">
        <f t="shared" si="2"/>
        <v>7.0077084793208859E-5</v>
      </c>
      <c r="M50" s="1">
        <v>46217</v>
      </c>
      <c r="N50">
        <v>275.55</v>
      </c>
      <c r="O50">
        <f t="shared" si="3"/>
        <v>-1.4661183622385004E-2</v>
      </c>
      <c r="Q50" s="1">
        <v>46217</v>
      </c>
      <c r="R50" s="2">
        <v>2120.1999999999998</v>
      </c>
      <c r="S50">
        <f t="shared" si="4"/>
        <v>-4.881254106824412E-3</v>
      </c>
      <c r="U50" s="1">
        <v>46217</v>
      </c>
      <c r="V50" s="2">
        <v>48524.95</v>
      </c>
      <c r="W50">
        <f t="shared" si="5"/>
        <v>-5.837955005029807E-3</v>
      </c>
    </row>
    <row r="51" spans="1:23" x14ac:dyDescent="0.25">
      <c r="A51" s="1">
        <v>46216</v>
      </c>
      <c r="B51">
        <v>438.9</v>
      </c>
      <c r="C51">
        <f t="shared" si="0"/>
        <v>-1.0372040586245823E-2</v>
      </c>
      <c r="E51" s="1">
        <v>46216</v>
      </c>
      <c r="F51" s="2">
        <v>5348.5</v>
      </c>
      <c r="G51">
        <f t="shared" si="1"/>
        <v>-8.4065010274612364E-4</v>
      </c>
      <c r="I51" s="1">
        <v>46216</v>
      </c>
      <c r="J51" s="2">
        <v>1427</v>
      </c>
      <c r="K51">
        <f t="shared" si="2"/>
        <v>-1.937877954920289E-2</v>
      </c>
      <c r="M51" s="1">
        <v>46216</v>
      </c>
      <c r="N51">
        <v>279.64999999999998</v>
      </c>
      <c r="O51">
        <f t="shared" si="3"/>
        <v>-7.4534161490684035E-3</v>
      </c>
      <c r="Q51" s="1">
        <v>46216</v>
      </c>
      <c r="R51" s="2">
        <v>2130.6</v>
      </c>
      <c r="S51">
        <f t="shared" si="4"/>
        <v>-9.2997303078210733E-3</v>
      </c>
      <c r="U51" s="1">
        <v>46216</v>
      </c>
      <c r="V51" s="2">
        <v>48809.9</v>
      </c>
      <c r="W51">
        <f t="shared" si="5"/>
        <v>-1.0154003398863472E-2</v>
      </c>
    </row>
    <row r="52" spans="1:23" x14ac:dyDescent="0.25">
      <c r="A52" s="1">
        <v>46213</v>
      </c>
      <c r="B52">
        <v>443.5</v>
      </c>
      <c r="C52">
        <f t="shared" si="0"/>
        <v>7.8980029335444599E-4</v>
      </c>
      <c r="E52" s="1">
        <v>46213</v>
      </c>
      <c r="F52" s="2">
        <v>5353</v>
      </c>
      <c r="G52">
        <f t="shared" si="1"/>
        <v>-1.5853772265224284E-3</v>
      </c>
      <c r="I52" s="1">
        <v>46213</v>
      </c>
      <c r="J52" s="2">
        <v>1455.2</v>
      </c>
      <c r="K52">
        <f t="shared" si="2"/>
        <v>-4.1062140706268815E-3</v>
      </c>
      <c r="M52" s="1">
        <v>46213</v>
      </c>
      <c r="N52">
        <v>281.75</v>
      </c>
      <c r="O52">
        <f t="shared" si="3"/>
        <v>-1.0636411983691238E-3</v>
      </c>
      <c r="Q52" s="1">
        <v>46213</v>
      </c>
      <c r="R52" s="2">
        <v>2150.6</v>
      </c>
      <c r="S52">
        <f t="shared" si="4"/>
        <v>2.8444858941477774E-3</v>
      </c>
      <c r="U52" s="1">
        <v>46213</v>
      </c>
      <c r="V52" s="2">
        <v>49310.6</v>
      </c>
      <c r="W52">
        <f t="shared" si="5"/>
        <v>-8.0141600380146587E-4</v>
      </c>
    </row>
    <row r="53" spans="1:23" x14ac:dyDescent="0.25">
      <c r="A53" s="1">
        <v>46212</v>
      </c>
      <c r="B53">
        <v>443.15</v>
      </c>
      <c r="C53">
        <f t="shared" si="0"/>
        <v>1.5118543122208145E-2</v>
      </c>
      <c r="E53" s="1">
        <v>46212</v>
      </c>
      <c r="F53" s="2">
        <v>5361.5</v>
      </c>
      <c r="G53">
        <f t="shared" si="1"/>
        <v>8.6539366005079481E-3</v>
      </c>
      <c r="I53" s="1">
        <v>46212</v>
      </c>
      <c r="J53" s="2">
        <v>1461.2</v>
      </c>
      <c r="K53">
        <f t="shared" si="2"/>
        <v>8.7537624609947146E-3</v>
      </c>
      <c r="M53" s="1">
        <v>46212</v>
      </c>
      <c r="N53">
        <v>282.05</v>
      </c>
      <c r="O53">
        <f t="shared" si="3"/>
        <v>4.9884197398896643E-3</v>
      </c>
      <c r="Q53" s="1">
        <v>46212</v>
      </c>
      <c r="R53" s="2">
        <v>2144.5</v>
      </c>
      <c r="S53">
        <f t="shared" si="4"/>
        <v>4.0734151137746125E-3</v>
      </c>
      <c r="U53" s="1">
        <v>46212</v>
      </c>
      <c r="V53" s="2">
        <v>49350.15</v>
      </c>
      <c r="W53">
        <f t="shared" si="5"/>
        <v>7.6106530767251828E-3</v>
      </c>
    </row>
    <row r="54" spans="1:23" x14ac:dyDescent="0.25">
      <c r="A54" s="1">
        <v>46211</v>
      </c>
      <c r="B54">
        <v>436.55</v>
      </c>
      <c r="C54">
        <f t="shared" si="0"/>
        <v>-3.7375964718853336E-2</v>
      </c>
      <c r="E54" s="1">
        <v>46211</v>
      </c>
      <c r="F54" s="2">
        <v>5315.5</v>
      </c>
      <c r="G54">
        <f t="shared" si="1"/>
        <v>-2.4141729392326051E-2</v>
      </c>
      <c r="I54" s="1">
        <v>46211</v>
      </c>
      <c r="J54" s="2">
        <v>1448.52</v>
      </c>
      <c r="K54">
        <f t="shared" si="2"/>
        <v>-1.4471455105831433E-2</v>
      </c>
      <c r="M54" s="1">
        <v>46211</v>
      </c>
      <c r="N54">
        <v>280.64999999999998</v>
      </c>
      <c r="O54">
        <f t="shared" si="3"/>
        <v>-2.805194805194813E-2</v>
      </c>
      <c r="Q54" s="1">
        <v>46211</v>
      </c>
      <c r="R54" s="2">
        <v>2135.8000000000002</v>
      </c>
      <c r="S54">
        <f t="shared" si="4"/>
        <v>-3.3049619703006156E-2</v>
      </c>
      <c r="U54" s="1">
        <v>46211</v>
      </c>
      <c r="V54" s="2">
        <v>48977.4</v>
      </c>
      <c r="W54">
        <f t="shared" si="5"/>
        <v>-2.4856722185886294E-2</v>
      </c>
    </row>
    <row r="55" spans="1:23" x14ac:dyDescent="0.25">
      <c r="A55" s="1">
        <v>46210</v>
      </c>
      <c r="B55">
        <v>453.5</v>
      </c>
      <c r="C55">
        <f t="shared" si="0"/>
        <v>8.337965536409116E-3</v>
      </c>
      <c r="E55" s="1">
        <v>46210</v>
      </c>
      <c r="F55" s="2">
        <v>5447</v>
      </c>
      <c r="G55">
        <f t="shared" si="1"/>
        <v>-1.3750114584288203E-3</v>
      </c>
      <c r="I55" s="1">
        <v>46210</v>
      </c>
      <c r="J55" s="2">
        <v>1469.79</v>
      </c>
      <c r="K55">
        <f t="shared" si="2"/>
        <v>-1.2910327582575751E-3</v>
      </c>
      <c r="M55" s="1">
        <v>46210</v>
      </c>
      <c r="N55">
        <v>288.75</v>
      </c>
      <c r="O55">
        <f t="shared" si="3"/>
        <v>1.7346053772766695E-3</v>
      </c>
      <c r="Q55" s="1">
        <v>46210</v>
      </c>
      <c r="R55" s="2">
        <v>2208.8000000000002</v>
      </c>
      <c r="S55">
        <f t="shared" si="4"/>
        <v>3.088101725703988E-3</v>
      </c>
      <c r="U55" s="1">
        <v>46210</v>
      </c>
      <c r="V55" s="2">
        <v>50225.85</v>
      </c>
      <c r="W55">
        <f t="shared" si="5"/>
        <v>5.8769213299373366E-4</v>
      </c>
    </row>
    <row r="56" spans="1:23" x14ac:dyDescent="0.25">
      <c r="A56" s="1">
        <v>46209</v>
      </c>
      <c r="B56">
        <v>449.75</v>
      </c>
      <c r="C56">
        <f t="shared" si="0"/>
        <v>1.2152582423764999E-2</v>
      </c>
      <c r="E56" s="1">
        <v>46209</v>
      </c>
      <c r="F56" s="2">
        <v>5454.5</v>
      </c>
      <c r="G56">
        <f t="shared" si="1"/>
        <v>1.4036066183305447E-2</v>
      </c>
      <c r="I56" s="1">
        <v>46209</v>
      </c>
      <c r="J56" s="2">
        <v>1471.69</v>
      </c>
      <c r="K56">
        <f t="shared" si="2"/>
        <v>9.5280559747565521E-3</v>
      </c>
      <c r="M56" s="1">
        <v>46209</v>
      </c>
      <c r="N56">
        <v>288.25</v>
      </c>
      <c r="O56">
        <f t="shared" si="3"/>
        <v>-5.863079841351918E-3</v>
      </c>
      <c r="Q56" s="1">
        <v>46209</v>
      </c>
      <c r="R56" s="2">
        <v>2202</v>
      </c>
      <c r="S56">
        <f t="shared" si="4"/>
        <v>3.6343812465935944E-4</v>
      </c>
      <c r="U56" s="1">
        <v>46209</v>
      </c>
      <c r="V56" s="2">
        <v>50196.35</v>
      </c>
      <c r="W56">
        <f t="shared" si="5"/>
        <v>1.9951533443520312E-3</v>
      </c>
    </row>
    <row r="57" spans="1:23" x14ac:dyDescent="0.25">
      <c r="A57" s="1">
        <v>46206</v>
      </c>
      <c r="B57">
        <v>444.35</v>
      </c>
      <c r="C57">
        <f t="shared" si="0"/>
        <v>-5.9284116331095689E-3</v>
      </c>
      <c r="E57" s="1">
        <v>46206</v>
      </c>
      <c r="F57" s="2">
        <v>5379</v>
      </c>
      <c r="G57">
        <f t="shared" si="1"/>
        <v>9.3040565686639378E-4</v>
      </c>
      <c r="I57" s="1">
        <v>46206</v>
      </c>
      <c r="J57" s="2">
        <v>1457.8</v>
      </c>
      <c r="K57">
        <f t="shared" si="2"/>
        <v>8.0210206057252861E-3</v>
      </c>
      <c r="M57" s="1">
        <v>46206</v>
      </c>
      <c r="N57">
        <v>289.95</v>
      </c>
      <c r="O57">
        <f t="shared" si="3"/>
        <v>1.7247326664370947E-4</v>
      </c>
      <c r="Q57" s="1">
        <v>46206</v>
      </c>
      <c r="R57" s="2">
        <v>2201.1999999999998</v>
      </c>
      <c r="S57">
        <f t="shared" si="4"/>
        <v>-4.2522392110739583E-3</v>
      </c>
      <c r="U57" s="1">
        <v>46206</v>
      </c>
      <c r="V57" s="2">
        <v>50096.4</v>
      </c>
      <c r="W57">
        <f t="shared" si="5"/>
        <v>2.3360427435932264E-4</v>
      </c>
    </row>
    <row r="58" spans="1:23" x14ac:dyDescent="0.25">
      <c r="A58" s="1">
        <v>46205</v>
      </c>
      <c r="B58">
        <v>447</v>
      </c>
      <c r="C58">
        <f t="shared" si="0"/>
        <v>5.0590219224283303E-3</v>
      </c>
      <c r="E58" s="1">
        <v>46205</v>
      </c>
      <c r="F58" s="2">
        <v>5374</v>
      </c>
      <c r="G58">
        <f t="shared" si="1"/>
        <v>2.1284682630178638E-2</v>
      </c>
      <c r="I58" s="1">
        <v>46205</v>
      </c>
      <c r="J58" s="2">
        <v>1446.2</v>
      </c>
      <c r="K58">
        <f t="shared" si="2"/>
        <v>-5.2276791855825483E-3</v>
      </c>
      <c r="M58" s="1">
        <v>46205</v>
      </c>
      <c r="N58">
        <v>289.89999999999998</v>
      </c>
      <c r="O58">
        <f t="shared" si="3"/>
        <v>-1.3778849466070757E-3</v>
      </c>
      <c r="Q58" s="1">
        <v>46205</v>
      </c>
      <c r="R58" s="2">
        <v>2210.6</v>
      </c>
      <c r="S58">
        <f t="shared" si="4"/>
        <v>1.3107241063244688E-2</v>
      </c>
      <c r="U58" s="1">
        <v>46205</v>
      </c>
      <c r="V58" s="2">
        <v>50084.7</v>
      </c>
      <c r="W58">
        <f t="shared" si="5"/>
        <v>5.5795594175894487E-3</v>
      </c>
    </row>
    <row r="59" spans="1:23" x14ac:dyDescent="0.25">
      <c r="A59" s="1">
        <v>46204</v>
      </c>
      <c r="B59">
        <v>444.75</v>
      </c>
      <c r="C59">
        <f t="shared" si="0"/>
        <v>5.3410705826622482E-2</v>
      </c>
      <c r="E59" s="1">
        <v>46204</v>
      </c>
      <c r="F59" s="2">
        <v>5262</v>
      </c>
      <c r="G59">
        <f t="shared" si="1"/>
        <v>2.2442436607403089E-2</v>
      </c>
      <c r="I59" s="1">
        <v>46204</v>
      </c>
      <c r="J59" s="2">
        <v>1453.8</v>
      </c>
      <c r="K59">
        <f t="shared" si="2"/>
        <v>3.4585824081981145E-2</v>
      </c>
      <c r="M59" s="1">
        <v>46204</v>
      </c>
      <c r="N59">
        <v>290.3</v>
      </c>
      <c r="O59">
        <f t="shared" si="3"/>
        <v>1.1674507753964185E-2</v>
      </c>
      <c r="Q59" s="1">
        <v>46204</v>
      </c>
      <c r="R59" s="2">
        <v>2182</v>
      </c>
      <c r="S59">
        <f t="shared" si="4"/>
        <v>3.011991313379293E-2</v>
      </c>
      <c r="U59" s="1">
        <v>46204</v>
      </c>
      <c r="V59" s="2">
        <v>49806.8</v>
      </c>
      <c r="W59">
        <f t="shared" si="5"/>
        <v>2.0752466481672123E-2</v>
      </c>
    </row>
    <row r="60" spans="1:23" x14ac:dyDescent="0.25">
      <c r="A60" s="1">
        <v>46203</v>
      </c>
      <c r="B60">
        <v>422.2</v>
      </c>
      <c r="C60">
        <f t="shared" si="0"/>
        <v>-9.6176401595121346E-3</v>
      </c>
      <c r="E60" s="1">
        <v>46203</v>
      </c>
      <c r="F60" s="2">
        <v>5146.5</v>
      </c>
      <c r="G60">
        <f t="shared" si="1"/>
        <v>8.7220697765582125E-3</v>
      </c>
      <c r="I60" s="1">
        <v>46203</v>
      </c>
      <c r="J60" s="2">
        <v>1405.2</v>
      </c>
      <c r="K60">
        <f t="shared" si="2"/>
        <v>1.290276075830757E-2</v>
      </c>
      <c r="M60" s="1">
        <v>46203</v>
      </c>
      <c r="N60">
        <v>286.95</v>
      </c>
      <c r="O60">
        <f t="shared" si="3"/>
        <v>-1.2899896800825594E-2</v>
      </c>
      <c r="Q60" s="1">
        <v>46203</v>
      </c>
      <c r="R60" s="2">
        <v>2118.1999999999998</v>
      </c>
      <c r="S60">
        <f t="shared" si="4"/>
        <v>-1.5386045646818371E-2</v>
      </c>
      <c r="U60" s="1">
        <v>46203</v>
      </c>
      <c r="V60" s="2">
        <v>48794.2</v>
      </c>
      <c r="W60">
        <f t="shared" si="5"/>
        <v>-6.7874201188130182E-3</v>
      </c>
    </row>
    <row r="61" spans="1:23" x14ac:dyDescent="0.25">
      <c r="A61" s="1">
        <v>46202</v>
      </c>
      <c r="B61">
        <v>426.3</v>
      </c>
      <c r="C61">
        <f t="shared" si="0"/>
        <v>5.6617126680821757E-3</v>
      </c>
      <c r="E61" s="1">
        <v>46202</v>
      </c>
      <c r="F61" s="2">
        <v>5102</v>
      </c>
      <c r="G61">
        <f t="shared" si="1"/>
        <v>-2.57781172426962E-2</v>
      </c>
      <c r="I61" s="1">
        <v>46202</v>
      </c>
      <c r="J61" s="2">
        <v>1387.3</v>
      </c>
      <c r="K61">
        <f t="shared" si="2"/>
        <v>-1.0908313132753426E-2</v>
      </c>
      <c r="M61" s="1">
        <v>46202</v>
      </c>
      <c r="N61">
        <v>290.7</v>
      </c>
      <c r="O61">
        <f t="shared" si="3"/>
        <v>2.4137931034482365E-3</v>
      </c>
      <c r="Q61" s="1">
        <v>46202</v>
      </c>
      <c r="R61" s="2">
        <v>2151.3000000000002</v>
      </c>
      <c r="S61">
        <f t="shared" si="4"/>
        <v>-1.0532609695520025E-2</v>
      </c>
      <c r="U61" s="1">
        <v>46202</v>
      </c>
      <c r="V61" s="2">
        <v>49127.65</v>
      </c>
      <c r="W61">
        <f t="shared" si="5"/>
        <v>-5.9005347106643371E-3</v>
      </c>
    </row>
    <row r="62" spans="1:23" x14ac:dyDescent="0.25">
      <c r="A62" s="1">
        <v>46198</v>
      </c>
      <c r="B62">
        <v>423.9</v>
      </c>
      <c r="C62">
        <f t="shared" si="0"/>
        <v>-4.715868898845684E-4</v>
      </c>
      <c r="E62" s="1">
        <v>46198</v>
      </c>
      <c r="F62" s="2">
        <v>5237</v>
      </c>
      <c r="G62">
        <f t="shared" si="1"/>
        <v>-4.8456057007125889E-3</v>
      </c>
      <c r="I62" s="1">
        <v>46198</v>
      </c>
      <c r="J62" s="2">
        <v>1402.6</v>
      </c>
      <c r="K62">
        <f t="shared" si="2"/>
        <v>1.4465499783017505E-2</v>
      </c>
      <c r="M62" s="1">
        <v>46198</v>
      </c>
      <c r="N62">
        <v>290</v>
      </c>
      <c r="O62">
        <f t="shared" si="3"/>
        <v>-1.2054417082831847E-3</v>
      </c>
      <c r="Q62" s="1">
        <v>46198</v>
      </c>
      <c r="R62" s="2">
        <v>2174.1999999999998</v>
      </c>
      <c r="S62">
        <f t="shared" si="4"/>
        <v>7.600333673185483E-3</v>
      </c>
      <c r="U62" s="1">
        <v>46198</v>
      </c>
      <c r="V62" s="2">
        <v>49419.25</v>
      </c>
      <c r="W62">
        <f t="shared" si="5"/>
        <v>6.8075648210964524E-3</v>
      </c>
    </row>
    <row r="63" spans="1:23" x14ac:dyDescent="0.25">
      <c r="A63" s="1">
        <v>46197</v>
      </c>
      <c r="B63">
        <v>424.1</v>
      </c>
      <c r="C63">
        <f t="shared" si="0"/>
        <v>1.0242972844211556E-2</v>
      </c>
      <c r="E63" s="1">
        <v>46197</v>
      </c>
      <c r="F63" s="2">
        <v>5262.5</v>
      </c>
      <c r="G63">
        <f t="shared" si="1"/>
        <v>4.1022705590536158E-3</v>
      </c>
      <c r="I63" s="1">
        <v>46197</v>
      </c>
      <c r="J63" s="2">
        <v>1382.6</v>
      </c>
      <c r="K63">
        <f t="shared" si="2"/>
        <v>-6.8955609826175379E-3</v>
      </c>
      <c r="M63" s="1">
        <v>46197</v>
      </c>
      <c r="N63">
        <v>290.35000000000002</v>
      </c>
      <c r="O63">
        <f t="shared" si="3"/>
        <v>1.2068965517242163E-3</v>
      </c>
      <c r="Q63" s="1">
        <v>46197</v>
      </c>
      <c r="R63" s="2">
        <v>2157.8000000000002</v>
      </c>
      <c r="S63">
        <f t="shared" si="4"/>
        <v>-1.0647655201146832E-3</v>
      </c>
      <c r="U63" s="1">
        <v>46197</v>
      </c>
      <c r="V63" s="2">
        <v>49085.1</v>
      </c>
      <c r="W63">
        <f t="shared" si="5"/>
        <v>5.3099275261130475E-4</v>
      </c>
    </row>
    <row r="64" spans="1:23" x14ac:dyDescent="0.25">
      <c r="A64" s="1">
        <v>46196</v>
      </c>
      <c r="B64">
        <v>419.8</v>
      </c>
      <c r="C64">
        <f t="shared" si="0"/>
        <v>-5.8022498519833951E-3</v>
      </c>
      <c r="E64" s="1">
        <v>46196</v>
      </c>
      <c r="F64" s="2">
        <v>5241</v>
      </c>
      <c r="G64">
        <f t="shared" si="1"/>
        <v>4.5040728318160037E-3</v>
      </c>
      <c r="I64" s="1">
        <v>46196</v>
      </c>
      <c r="J64" s="2">
        <v>1392.2</v>
      </c>
      <c r="K64">
        <f t="shared" si="2"/>
        <v>-6.9191811113489153E-3</v>
      </c>
      <c r="M64" s="1">
        <v>46196</v>
      </c>
      <c r="N64">
        <v>290</v>
      </c>
      <c r="O64">
        <f t="shared" si="3"/>
        <v>-4.2918454935622317E-3</v>
      </c>
      <c r="Q64" s="1">
        <v>46196</v>
      </c>
      <c r="R64" s="2">
        <v>2160.1</v>
      </c>
      <c r="S64">
        <f t="shared" si="4"/>
        <v>-1.1350633896288242E-2</v>
      </c>
      <c r="U64" s="1">
        <v>46196</v>
      </c>
      <c r="V64" s="2">
        <v>49059.05</v>
      </c>
      <c r="W64">
        <f t="shared" si="5"/>
        <v>-5.9983669367501156E-3</v>
      </c>
    </row>
    <row r="65" spans="1:23" x14ac:dyDescent="0.25">
      <c r="A65" s="1">
        <v>46195</v>
      </c>
      <c r="B65">
        <v>422.25</v>
      </c>
      <c r="C65">
        <f t="shared" si="0"/>
        <v>-2.9515938606847697E-3</v>
      </c>
      <c r="E65" s="1">
        <v>46195</v>
      </c>
      <c r="F65" s="2">
        <v>5217.5</v>
      </c>
      <c r="G65">
        <f t="shared" si="1"/>
        <v>4.3310875842155917E-3</v>
      </c>
      <c r="I65" s="1">
        <v>46195</v>
      </c>
      <c r="J65" s="2">
        <v>1401.9</v>
      </c>
      <c r="K65">
        <f t="shared" si="2"/>
        <v>-9.1178965224765797E-3</v>
      </c>
      <c r="M65" s="1">
        <v>46195</v>
      </c>
      <c r="N65">
        <v>291.25</v>
      </c>
      <c r="O65">
        <f t="shared" si="3"/>
        <v>-4.2735042735042739E-3</v>
      </c>
      <c r="Q65" s="1">
        <v>46195</v>
      </c>
      <c r="R65" s="2">
        <v>2184.9</v>
      </c>
      <c r="S65">
        <f t="shared" si="4"/>
        <v>-4.4199398523648127E-3</v>
      </c>
      <c r="U65" s="1">
        <v>46195</v>
      </c>
      <c r="V65" s="2">
        <v>49355.1</v>
      </c>
      <c r="W65">
        <f t="shared" si="5"/>
        <v>-4.1082594983322517E-3</v>
      </c>
    </row>
    <row r="66" spans="1:23" x14ac:dyDescent="0.25">
      <c r="A66" s="1">
        <v>46192</v>
      </c>
      <c r="B66">
        <v>423.5</v>
      </c>
      <c r="C66">
        <f t="shared" si="0"/>
        <v>-1.2129694425005805E-2</v>
      </c>
      <c r="E66" s="1">
        <v>46192</v>
      </c>
      <c r="F66" s="2">
        <v>5195</v>
      </c>
      <c r="G66">
        <f t="shared" si="1"/>
        <v>-9.5328884652049577E-3</v>
      </c>
      <c r="I66" s="1">
        <v>46192</v>
      </c>
      <c r="J66" s="2">
        <v>1414.8</v>
      </c>
      <c r="K66">
        <f t="shared" si="2"/>
        <v>1.0282776349614298E-2</v>
      </c>
      <c r="M66" s="1">
        <v>46192</v>
      </c>
      <c r="N66">
        <v>292.5</v>
      </c>
      <c r="O66">
        <f t="shared" si="3"/>
        <v>4.6367851622875593E-3</v>
      </c>
      <c r="Q66" s="1">
        <v>46192</v>
      </c>
      <c r="R66" s="2">
        <v>2194.6</v>
      </c>
      <c r="S66">
        <f t="shared" si="4"/>
        <v>-1.0773044850123998E-2</v>
      </c>
      <c r="U66" s="1">
        <v>46192</v>
      </c>
      <c r="V66" s="2">
        <v>49558.7</v>
      </c>
      <c r="W66">
        <f t="shared" si="5"/>
        <v>-1.9293316819221401E-3</v>
      </c>
    </row>
    <row r="67" spans="1:23" x14ac:dyDescent="0.25">
      <c r="A67" s="1">
        <v>46191</v>
      </c>
      <c r="B67">
        <v>428.7</v>
      </c>
      <c r="C67">
        <f t="shared" si="0"/>
        <v>-6.9930069930072575E-4</v>
      </c>
      <c r="E67" s="1">
        <v>46191</v>
      </c>
      <c r="F67" s="2">
        <v>5245</v>
      </c>
      <c r="G67">
        <f t="shared" si="1"/>
        <v>2.4847094801223242E-3</v>
      </c>
      <c r="I67" s="1">
        <v>46191</v>
      </c>
      <c r="J67" s="2">
        <v>1400.4</v>
      </c>
      <c r="K67">
        <f t="shared" si="2"/>
        <v>-4.9030057557023117E-3</v>
      </c>
      <c r="M67" s="1">
        <v>46191</v>
      </c>
      <c r="N67">
        <v>291.14999999999998</v>
      </c>
      <c r="O67">
        <f t="shared" si="3"/>
        <v>1.3757523645742983E-3</v>
      </c>
      <c r="Q67" s="1">
        <v>46191</v>
      </c>
      <c r="R67" s="2">
        <v>2218.5</v>
      </c>
      <c r="S67">
        <f t="shared" si="4"/>
        <v>9.5103749544958559E-3</v>
      </c>
      <c r="U67" s="1">
        <v>46191</v>
      </c>
      <c r="V67" s="2">
        <v>49654.5</v>
      </c>
      <c r="W67">
        <f t="shared" si="5"/>
        <v>1.9866393709748274E-3</v>
      </c>
    </row>
    <row r="68" spans="1:23" x14ac:dyDescent="0.25">
      <c r="A68" s="1">
        <v>46190</v>
      </c>
      <c r="B68">
        <v>429</v>
      </c>
      <c r="C68">
        <f t="shared" si="0"/>
        <v>-1.4812263176024775E-2</v>
      </c>
      <c r="E68" s="1">
        <v>46190</v>
      </c>
      <c r="F68" s="2">
        <v>5232</v>
      </c>
      <c r="G68">
        <f t="shared" si="1"/>
        <v>2.7791087685673215E-3</v>
      </c>
      <c r="I68" s="1">
        <v>46190</v>
      </c>
      <c r="J68" s="2">
        <v>1407.3</v>
      </c>
      <c r="K68">
        <f t="shared" si="2"/>
        <v>1.120931235179989E-2</v>
      </c>
      <c r="M68" s="1">
        <v>46190</v>
      </c>
      <c r="N68">
        <v>290.75</v>
      </c>
      <c r="O68">
        <f t="shared" si="3"/>
        <v>-3.0858906223211976E-3</v>
      </c>
      <c r="Q68" s="1">
        <v>46190</v>
      </c>
      <c r="R68" s="2">
        <v>2197.6</v>
      </c>
      <c r="S68">
        <f t="shared" si="4"/>
        <v>-1.0455020682759134E-3</v>
      </c>
      <c r="U68" s="1">
        <v>46190</v>
      </c>
      <c r="V68" s="2">
        <v>49556.05</v>
      </c>
      <c r="W68">
        <f t="shared" si="5"/>
        <v>-1.739440478300778E-3</v>
      </c>
    </row>
    <row r="69" spans="1:23" x14ac:dyDescent="0.25">
      <c r="A69" s="1">
        <v>46189</v>
      </c>
      <c r="B69">
        <v>435.45</v>
      </c>
      <c r="C69">
        <f t="shared" ref="C69:C132" si="6">(B69-B70)/B70</f>
        <v>1.4680181754631275E-2</v>
      </c>
      <c r="E69" s="1">
        <v>46189</v>
      </c>
      <c r="F69" s="2">
        <v>5217.5</v>
      </c>
      <c r="G69">
        <f t="shared" ref="G69:G132" si="7">(F69-F70)/F70</f>
        <v>3.4618713337820945E-3</v>
      </c>
      <c r="I69" s="1">
        <v>46189</v>
      </c>
      <c r="J69" s="2">
        <v>1391.7</v>
      </c>
      <c r="K69">
        <f t="shared" ref="K69:K132" si="8">(J69-J70)/J70</f>
        <v>1.2366334472975922E-2</v>
      </c>
      <c r="M69" s="1">
        <v>46189</v>
      </c>
      <c r="N69">
        <v>291.64999999999998</v>
      </c>
      <c r="O69">
        <f t="shared" ref="O69:O132" si="9">(N69-N70)/N70</f>
        <v>1.3025356026398056E-2</v>
      </c>
      <c r="Q69" s="1">
        <v>46189</v>
      </c>
      <c r="R69" s="2">
        <v>2199.9</v>
      </c>
      <c r="S69">
        <f t="shared" ref="S69:S132" si="10">(R69-R70)/R70</f>
        <v>2.0314456657854543E-2</v>
      </c>
      <c r="U69" s="1">
        <v>46189</v>
      </c>
      <c r="V69" s="2">
        <v>49642.400000000001</v>
      </c>
      <c r="W69">
        <f t="shared" ref="W69:W132" si="11">(V69-V70)/V70</f>
        <v>1.2213671972171587E-2</v>
      </c>
    </row>
    <row r="70" spans="1:23" x14ac:dyDescent="0.25">
      <c r="A70" s="1">
        <v>46188</v>
      </c>
      <c r="B70">
        <v>429.15</v>
      </c>
      <c r="C70">
        <f t="shared" si="6"/>
        <v>6.4493433395872426E-3</v>
      </c>
      <c r="E70" s="1">
        <v>46188</v>
      </c>
      <c r="F70" s="2">
        <v>5199.5</v>
      </c>
      <c r="G70">
        <f t="shared" si="7"/>
        <v>6.5821314490368795E-3</v>
      </c>
      <c r="I70" s="1">
        <v>46188</v>
      </c>
      <c r="J70" s="2">
        <v>1374.7</v>
      </c>
      <c r="K70">
        <f t="shared" si="8"/>
        <v>-7.2690266773279058E-4</v>
      </c>
      <c r="M70" s="1">
        <v>46188</v>
      </c>
      <c r="N70">
        <v>287.89999999999998</v>
      </c>
      <c r="O70">
        <f t="shared" si="9"/>
        <v>9.8211153981057672E-3</v>
      </c>
      <c r="Q70" s="1">
        <v>46188</v>
      </c>
      <c r="R70" s="2">
        <v>2156.1</v>
      </c>
      <c r="S70">
        <f t="shared" si="10"/>
        <v>-5.8557727775729769E-3</v>
      </c>
      <c r="U70" s="1">
        <v>46188</v>
      </c>
      <c r="V70" s="2">
        <v>49043.4</v>
      </c>
      <c r="W70">
        <f t="shared" si="11"/>
        <v>4.4196315198781616E-3</v>
      </c>
    </row>
    <row r="71" spans="1:23" x14ac:dyDescent="0.25">
      <c r="A71" s="1">
        <v>46185</v>
      </c>
      <c r="B71">
        <v>426.4</v>
      </c>
      <c r="C71">
        <f t="shared" si="6"/>
        <v>1.1145364002845598E-2</v>
      </c>
      <c r="E71" s="1">
        <v>46185</v>
      </c>
      <c r="F71" s="2">
        <v>5165.5</v>
      </c>
      <c r="G71">
        <f t="shared" si="7"/>
        <v>1.0267944455309994E-2</v>
      </c>
      <c r="I71" s="1">
        <v>46185</v>
      </c>
      <c r="J71" s="2">
        <v>1375.7</v>
      </c>
      <c r="K71">
        <f t="shared" si="8"/>
        <v>-3.2899824253075541E-2</v>
      </c>
      <c r="M71" s="1">
        <v>46185</v>
      </c>
      <c r="N71">
        <v>285.10000000000002</v>
      </c>
      <c r="O71">
        <f t="shared" si="9"/>
        <v>9.5609065155808984E-3</v>
      </c>
      <c r="Q71" s="1">
        <v>46185</v>
      </c>
      <c r="R71" s="2">
        <v>2168.8000000000002</v>
      </c>
      <c r="S71">
        <f t="shared" si="10"/>
        <v>1.3552668473689128E-2</v>
      </c>
      <c r="U71" s="1">
        <v>46185</v>
      </c>
      <c r="V71" s="2">
        <v>48827.6</v>
      </c>
      <c r="W71">
        <f t="shared" si="11"/>
        <v>6.3023218429653395E-3</v>
      </c>
    </row>
    <row r="72" spans="1:23" x14ac:dyDescent="0.25">
      <c r="A72" s="1">
        <v>46184</v>
      </c>
      <c r="B72">
        <v>421.7</v>
      </c>
      <c r="C72">
        <f t="shared" si="6"/>
        <v>-1.4489366674456623E-2</v>
      </c>
      <c r="E72" s="1">
        <v>46184</v>
      </c>
      <c r="F72" s="2">
        <v>5113</v>
      </c>
      <c r="G72">
        <f t="shared" si="7"/>
        <v>-1.1216399149100754E-2</v>
      </c>
      <c r="I72" s="1">
        <v>46184</v>
      </c>
      <c r="J72" s="2">
        <v>1422.5</v>
      </c>
      <c r="K72">
        <f t="shared" si="8"/>
        <v>-1.0985190850309362E-2</v>
      </c>
      <c r="M72" s="1">
        <v>46184</v>
      </c>
      <c r="N72">
        <v>282.39999999999998</v>
      </c>
      <c r="O72">
        <f t="shared" si="9"/>
        <v>-4.4068394147717257E-3</v>
      </c>
      <c r="Q72" s="1">
        <v>46184</v>
      </c>
      <c r="R72" s="2">
        <v>2139.8000000000002</v>
      </c>
      <c r="S72">
        <f t="shared" si="10"/>
        <v>-1.3689790274256658E-2</v>
      </c>
      <c r="U72" s="1">
        <v>46184</v>
      </c>
      <c r="V72" s="2">
        <v>48521.8</v>
      </c>
      <c r="W72">
        <f t="shared" si="11"/>
        <v>-8.8894335845741586E-3</v>
      </c>
    </row>
    <row r="73" spans="1:23" x14ac:dyDescent="0.25">
      <c r="A73" s="1">
        <v>46183</v>
      </c>
      <c r="B73">
        <v>427.9</v>
      </c>
      <c r="C73">
        <f t="shared" si="6"/>
        <v>4.106535257538426E-3</v>
      </c>
      <c r="E73" s="1">
        <v>46183</v>
      </c>
      <c r="F73" s="2">
        <v>5171</v>
      </c>
      <c r="G73">
        <f t="shared" si="7"/>
        <v>1.2432697014194811E-2</v>
      </c>
      <c r="I73" s="1">
        <v>46183</v>
      </c>
      <c r="J73" s="2">
        <v>1438.3</v>
      </c>
      <c r="K73">
        <f t="shared" si="8"/>
        <v>1.9781622234826903E-2</v>
      </c>
      <c r="M73" s="1">
        <v>46183</v>
      </c>
      <c r="N73">
        <v>283.64999999999998</v>
      </c>
      <c r="O73">
        <f t="shared" si="9"/>
        <v>1.3035714285714204E-2</v>
      </c>
      <c r="Q73" s="1">
        <v>46183</v>
      </c>
      <c r="R73" s="2">
        <v>2169.5</v>
      </c>
      <c r="S73">
        <f t="shared" si="10"/>
        <v>1.7207426856714093E-2</v>
      </c>
      <c r="U73" s="1">
        <v>46183</v>
      </c>
      <c r="V73" s="2">
        <v>48957</v>
      </c>
      <c r="W73">
        <f t="shared" si="11"/>
        <v>1.0518624322461031E-2</v>
      </c>
    </row>
    <row r="74" spans="1:23" x14ac:dyDescent="0.25">
      <c r="A74" s="1">
        <v>46182</v>
      </c>
      <c r="B74">
        <v>426.15</v>
      </c>
      <c r="C74">
        <f t="shared" si="6"/>
        <v>1.5247170935080351E-2</v>
      </c>
      <c r="E74" s="1">
        <v>46182</v>
      </c>
      <c r="F74" s="2">
        <v>5107.5</v>
      </c>
      <c r="G74">
        <f t="shared" si="7"/>
        <v>5.7103475435660135E-3</v>
      </c>
      <c r="I74" s="1">
        <v>46182</v>
      </c>
      <c r="J74" s="2">
        <v>1410.4</v>
      </c>
      <c r="K74">
        <f t="shared" si="8"/>
        <v>8.2207448709700481E-3</v>
      </c>
      <c r="M74" s="1">
        <v>46182</v>
      </c>
      <c r="N74">
        <v>280</v>
      </c>
      <c r="O74">
        <f t="shared" si="9"/>
        <v>1.9681517266058736E-3</v>
      </c>
      <c r="Q74" s="1">
        <v>46182</v>
      </c>
      <c r="R74" s="2">
        <v>2132.8000000000002</v>
      </c>
      <c r="S74">
        <f t="shared" si="10"/>
        <v>1.0757783991280164E-2</v>
      </c>
      <c r="U74" s="1">
        <v>46182</v>
      </c>
      <c r="V74" s="2">
        <v>48447.4</v>
      </c>
      <c r="W74">
        <f t="shared" si="11"/>
        <v>7.2507232531474376E-3</v>
      </c>
    </row>
    <row r="75" spans="1:23" x14ac:dyDescent="0.25">
      <c r="A75" s="1">
        <v>46181</v>
      </c>
      <c r="B75">
        <v>419.75</v>
      </c>
      <c r="C75">
        <f t="shared" si="6"/>
        <v>-1.0373688553577691E-2</v>
      </c>
      <c r="E75" s="1">
        <v>46181</v>
      </c>
      <c r="F75" s="2">
        <v>5078.5</v>
      </c>
      <c r="G75">
        <f t="shared" si="7"/>
        <v>-8.2023239917976762E-3</v>
      </c>
      <c r="I75" s="1">
        <v>46181</v>
      </c>
      <c r="J75" s="2">
        <v>1398.9</v>
      </c>
      <c r="K75">
        <f t="shared" si="8"/>
        <v>9.1617371230702967E-3</v>
      </c>
      <c r="M75" s="1">
        <v>46181</v>
      </c>
      <c r="N75">
        <v>279.45</v>
      </c>
      <c r="O75">
        <f t="shared" si="9"/>
        <v>-4.4531528322052016E-3</v>
      </c>
      <c r="Q75" s="1">
        <v>46181</v>
      </c>
      <c r="R75" s="2">
        <v>2110.1</v>
      </c>
      <c r="S75">
        <f t="shared" si="10"/>
        <v>-5.3735564459109547E-3</v>
      </c>
      <c r="U75" s="1">
        <v>46181</v>
      </c>
      <c r="V75" s="2">
        <v>48098.65</v>
      </c>
      <c r="W75">
        <f t="shared" si="11"/>
        <v>-4.2192476779127283E-3</v>
      </c>
    </row>
    <row r="76" spans="1:23" x14ac:dyDescent="0.25">
      <c r="A76" s="1">
        <v>46178</v>
      </c>
      <c r="B76">
        <v>424.15</v>
      </c>
      <c r="C76">
        <f t="shared" si="6"/>
        <v>-1.1774402449075711E-3</v>
      </c>
      <c r="E76" s="1">
        <v>46178</v>
      </c>
      <c r="F76" s="2">
        <v>5120.5</v>
      </c>
      <c r="G76">
        <f t="shared" si="7"/>
        <v>5.9921414538310416E-3</v>
      </c>
      <c r="I76" s="1">
        <v>46178</v>
      </c>
      <c r="J76" s="2">
        <v>1386.2</v>
      </c>
      <c r="K76">
        <f t="shared" si="8"/>
        <v>2.3862896811048914E-3</v>
      </c>
      <c r="M76" s="1">
        <v>46178</v>
      </c>
      <c r="N76">
        <v>280.7</v>
      </c>
      <c r="O76">
        <f t="shared" si="9"/>
        <v>1.4270424545129406E-3</v>
      </c>
      <c r="Q76" s="1">
        <v>46178</v>
      </c>
      <c r="R76" s="2">
        <v>2121.5</v>
      </c>
      <c r="S76">
        <f t="shared" si="10"/>
        <v>2.0246224872559348E-2</v>
      </c>
      <c r="U76" s="1">
        <v>46178</v>
      </c>
      <c r="V76" s="2">
        <v>48302.45</v>
      </c>
      <c r="W76">
        <f t="shared" si="11"/>
        <v>1.7929732868756656E-3</v>
      </c>
    </row>
    <row r="77" spans="1:23" x14ac:dyDescent="0.25">
      <c r="A77" s="1">
        <v>46177</v>
      </c>
      <c r="B77">
        <v>424.65</v>
      </c>
      <c r="C77">
        <f t="shared" si="6"/>
        <v>1.6273782457819682E-2</v>
      </c>
      <c r="E77" s="1">
        <v>46177</v>
      </c>
      <c r="F77" s="2">
        <v>5090</v>
      </c>
      <c r="G77">
        <f t="shared" si="7"/>
        <v>5.1342812006319113E-3</v>
      </c>
      <c r="I77" s="1">
        <v>46177</v>
      </c>
      <c r="J77" s="2">
        <v>1382.9</v>
      </c>
      <c r="K77">
        <f t="shared" si="8"/>
        <v>-6.1803808839381311E-3</v>
      </c>
      <c r="M77" s="1">
        <v>46177</v>
      </c>
      <c r="N77">
        <v>280.3</v>
      </c>
      <c r="O77">
        <f t="shared" si="9"/>
        <v>1.1913357400722063E-2</v>
      </c>
      <c r="Q77" s="1">
        <v>46177</v>
      </c>
      <c r="R77" s="2">
        <v>2079.4</v>
      </c>
      <c r="S77">
        <f t="shared" si="10"/>
        <v>-5.3573136898497171E-3</v>
      </c>
      <c r="U77" s="1">
        <v>46177</v>
      </c>
      <c r="V77" s="2">
        <v>48216</v>
      </c>
      <c r="W77">
        <f t="shared" si="11"/>
        <v>1.9127690058692796E-3</v>
      </c>
    </row>
    <row r="78" spans="1:23" x14ac:dyDescent="0.25">
      <c r="A78" s="1">
        <v>46176</v>
      </c>
      <c r="B78">
        <v>417.85</v>
      </c>
      <c r="C78">
        <f t="shared" si="6"/>
        <v>-1.7978848413630968E-2</v>
      </c>
      <c r="E78" s="1">
        <v>46176</v>
      </c>
      <c r="F78" s="2">
        <v>5064</v>
      </c>
      <c r="G78">
        <f t="shared" si="7"/>
        <v>-1.0357631424662889E-2</v>
      </c>
      <c r="I78" s="1">
        <v>46176</v>
      </c>
      <c r="J78" s="2">
        <v>1391.5</v>
      </c>
      <c r="K78">
        <f t="shared" si="8"/>
        <v>-5.1476370915850755E-3</v>
      </c>
      <c r="M78" s="1">
        <v>46176</v>
      </c>
      <c r="N78">
        <v>277</v>
      </c>
      <c r="O78">
        <f t="shared" si="9"/>
        <v>-2.2065313327449251E-2</v>
      </c>
      <c r="Q78" s="1">
        <v>46176</v>
      </c>
      <c r="R78" s="2">
        <v>2090.6</v>
      </c>
      <c r="S78">
        <f t="shared" si="10"/>
        <v>-1.4806323733103641E-3</v>
      </c>
      <c r="U78" s="1">
        <v>46176</v>
      </c>
      <c r="V78" s="2">
        <v>48123.95</v>
      </c>
      <c r="W78">
        <f t="shared" si="11"/>
        <v>-1.005599348319796E-2</v>
      </c>
    </row>
    <row r="79" spans="1:23" x14ac:dyDescent="0.25">
      <c r="A79" s="1">
        <v>46175</v>
      </c>
      <c r="B79">
        <v>425.5</v>
      </c>
      <c r="C79">
        <f t="shared" si="6"/>
        <v>2.1196420160150193E-3</v>
      </c>
      <c r="E79" s="1">
        <v>46175</v>
      </c>
      <c r="F79" s="2">
        <v>5117</v>
      </c>
      <c r="G79">
        <f t="shared" si="7"/>
        <v>-7.8526417838099861E-3</v>
      </c>
      <c r="I79" s="1">
        <v>46175</v>
      </c>
      <c r="J79" s="2">
        <v>1398.7</v>
      </c>
      <c r="K79">
        <f t="shared" si="8"/>
        <v>4.9576088518465955E-3</v>
      </c>
      <c r="M79" s="1">
        <v>46175</v>
      </c>
      <c r="N79">
        <v>283.25</v>
      </c>
      <c r="O79">
        <f t="shared" si="9"/>
        <v>1.2873234400143119E-2</v>
      </c>
      <c r="Q79" s="1">
        <v>46175</v>
      </c>
      <c r="R79" s="2">
        <v>2093.6999999999998</v>
      </c>
      <c r="S79">
        <f t="shared" si="10"/>
        <v>4.5099074029648495E-3</v>
      </c>
      <c r="U79" s="1">
        <v>46175</v>
      </c>
      <c r="V79" s="2">
        <v>48612.800000000003</v>
      </c>
      <c r="W79">
        <f t="shared" si="11"/>
        <v>7.5672000945123984E-3</v>
      </c>
    </row>
    <row r="80" spans="1:23" x14ac:dyDescent="0.25">
      <c r="A80" s="1">
        <v>46174</v>
      </c>
      <c r="B80">
        <v>424.6</v>
      </c>
      <c r="C80">
        <f t="shared" si="6"/>
        <v>-4.2399639152007118E-2</v>
      </c>
      <c r="E80" s="1">
        <v>46174</v>
      </c>
      <c r="F80" s="2">
        <v>5157.5</v>
      </c>
      <c r="G80">
        <f t="shared" si="7"/>
        <v>-9.0306465558651159E-3</v>
      </c>
      <c r="I80" s="1">
        <v>46174</v>
      </c>
      <c r="J80" s="2">
        <v>1391.8</v>
      </c>
      <c r="K80">
        <f t="shared" si="8"/>
        <v>-2.0893422441083394E-2</v>
      </c>
      <c r="M80" s="1">
        <v>46174</v>
      </c>
      <c r="N80">
        <v>279.64999999999998</v>
      </c>
      <c r="O80">
        <f t="shared" si="9"/>
        <v>-2.5270128964796097E-2</v>
      </c>
      <c r="Q80" s="1">
        <v>46174</v>
      </c>
      <c r="R80" s="2">
        <v>2084.3000000000002</v>
      </c>
      <c r="S80">
        <f t="shared" si="10"/>
        <v>-3.213373577896439E-2</v>
      </c>
      <c r="U80" s="1">
        <v>46174</v>
      </c>
      <c r="V80" s="2">
        <v>48247.7</v>
      </c>
      <c r="W80">
        <f t="shared" si="11"/>
        <v>-2.2996617280925686E-2</v>
      </c>
    </row>
    <row r="81" spans="1:23" x14ac:dyDescent="0.25">
      <c r="A81" s="1">
        <v>46171</v>
      </c>
      <c r="B81">
        <v>443.4</v>
      </c>
      <c r="C81">
        <f t="shared" si="6"/>
        <v>-4.6020877764059069E-3</v>
      </c>
      <c r="E81" s="1">
        <v>46171</v>
      </c>
      <c r="F81" s="2">
        <v>5204.5</v>
      </c>
      <c r="G81">
        <f t="shared" si="7"/>
        <v>-2.4552525536500797E-2</v>
      </c>
      <c r="I81" s="1">
        <v>46171</v>
      </c>
      <c r="J81" s="2">
        <v>1421.5</v>
      </c>
      <c r="K81">
        <f t="shared" si="8"/>
        <v>-4.2031523642732053E-3</v>
      </c>
      <c r="M81" s="1">
        <v>46171</v>
      </c>
      <c r="N81">
        <v>286.89999999999998</v>
      </c>
      <c r="O81">
        <f t="shared" si="9"/>
        <v>-1.729748244562429E-2</v>
      </c>
      <c r="Q81" s="1">
        <v>46171</v>
      </c>
      <c r="R81" s="2">
        <v>2153.5</v>
      </c>
      <c r="S81">
        <f t="shared" si="10"/>
        <v>-2.0423944687045163E-2</v>
      </c>
      <c r="U81" s="1">
        <v>46171</v>
      </c>
      <c r="V81" s="2">
        <v>49383.35</v>
      </c>
      <c r="W81">
        <f t="shared" si="11"/>
        <v>-1.5128066547139276E-2</v>
      </c>
    </row>
    <row r="82" spans="1:23" x14ac:dyDescent="0.25">
      <c r="A82" s="1">
        <v>46169</v>
      </c>
      <c r="B82">
        <v>445.45</v>
      </c>
      <c r="C82">
        <f t="shared" si="6"/>
        <v>-4.8033958891868503E-3</v>
      </c>
      <c r="E82" s="1">
        <v>46169</v>
      </c>
      <c r="F82" s="2">
        <v>5335.5</v>
      </c>
      <c r="G82">
        <f t="shared" si="7"/>
        <v>-4.6834020232296739E-4</v>
      </c>
      <c r="I82" s="1">
        <v>46169</v>
      </c>
      <c r="J82" s="2">
        <v>1427.5</v>
      </c>
      <c r="K82">
        <f t="shared" si="8"/>
        <v>-7.6998460030793024E-4</v>
      </c>
      <c r="M82" s="1">
        <v>46169</v>
      </c>
      <c r="N82">
        <v>291.95</v>
      </c>
      <c r="O82">
        <f t="shared" si="9"/>
        <v>-3.2156472733300148E-2</v>
      </c>
      <c r="Q82" s="1">
        <v>46169</v>
      </c>
      <c r="R82" s="2">
        <v>2198.4</v>
      </c>
      <c r="S82">
        <f t="shared" si="10"/>
        <v>-4.97872725626867E-3</v>
      </c>
      <c r="U82" s="1">
        <v>46169</v>
      </c>
      <c r="V82" s="2">
        <v>50141.9</v>
      </c>
      <c r="W82">
        <f t="shared" si="11"/>
        <v>-1.7012643509959633E-3</v>
      </c>
    </row>
    <row r="83" spans="1:23" x14ac:dyDescent="0.25">
      <c r="A83" s="1">
        <v>46168</v>
      </c>
      <c r="B83">
        <v>447.6</v>
      </c>
      <c r="C83">
        <f t="shared" si="6"/>
        <v>8.9445438282655218E-4</v>
      </c>
      <c r="E83" s="1">
        <v>46168</v>
      </c>
      <c r="F83" s="2">
        <v>5338</v>
      </c>
      <c r="G83">
        <f t="shared" si="7"/>
        <v>2.064952130655153E-3</v>
      </c>
      <c r="I83" s="1">
        <v>46168</v>
      </c>
      <c r="J83" s="2">
        <v>1428.6</v>
      </c>
      <c r="K83">
        <f t="shared" si="8"/>
        <v>1.0611205432937183E-2</v>
      </c>
      <c r="M83" s="1">
        <v>46168</v>
      </c>
      <c r="N83">
        <v>301.64999999999998</v>
      </c>
      <c r="O83">
        <f t="shared" si="9"/>
        <v>-7.5670340516532705E-3</v>
      </c>
      <c r="Q83" s="1">
        <v>46168</v>
      </c>
      <c r="R83" s="2">
        <v>2209.4</v>
      </c>
      <c r="S83">
        <f t="shared" si="10"/>
        <v>5.8729797404962853E-3</v>
      </c>
      <c r="U83" s="1">
        <v>46168</v>
      </c>
      <c r="V83" s="2">
        <v>50227.35</v>
      </c>
      <c r="W83">
        <f t="shared" si="11"/>
        <v>1.3876220524245714E-3</v>
      </c>
    </row>
    <row r="84" spans="1:23" x14ac:dyDescent="0.25">
      <c r="A84" s="1">
        <v>46167</v>
      </c>
      <c r="B84">
        <v>447.2</v>
      </c>
      <c r="C84">
        <f t="shared" si="6"/>
        <v>-8.5356390644053259E-3</v>
      </c>
      <c r="E84" s="1">
        <v>46167</v>
      </c>
      <c r="F84" s="2">
        <v>5327</v>
      </c>
      <c r="G84">
        <f t="shared" si="7"/>
        <v>-8.4404013879771172E-4</v>
      </c>
      <c r="I84" s="1">
        <v>46167</v>
      </c>
      <c r="J84" s="2">
        <v>1413.6</v>
      </c>
      <c r="K84">
        <f t="shared" si="8"/>
        <v>-6.6755674232309749E-3</v>
      </c>
      <c r="M84" s="1">
        <v>46167</v>
      </c>
      <c r="N84">
        <v>303.95</v>
      </c>
      <c r="O84">
        <f t="shared" si="9"/>
        <v>7.4577394763009619E-3</v>
      </c>
      <c r="Q84" s="1">
        <v>46167</v>
      </c>
      <c r="R84" s="2">
        <v>2196.5</v>
      </c>
      <c r="S84">
        <f t="shared" si="10"/>
        <v>-3.2220003630422534E-3</v>
      </c>
      <c r="U84" s="1">
        <v>46167</v>
      </c>
      <c r="V84" s="2">
        <v>50157.75</v>
      </c>
      <c r="W84">
        <f t="shared" si="11"/>
        <v>-1.8318480869576178E-3</v>
      </c>
    </row>
    <row r="85" spans="1:23" x14ac:dyDescent="0.25">
      <c r="A85" s="1">
        <v>46164</v>
      </c>
      <c r="B85">
        <v>451.05</v>
      </c>
      <c r="C85">
        <f t="shared" si="6"/>
        <v>9.3991272239006118E-3</v>
      </c>
      <c r="E85" s="1">
        <v>46164</v>
      </c>
      <c r="F85" s="2">
        <v>5331.5</v>
      </c>
      <c r="G85">
        <f t="shared" si="7"/>
        <v>-2.8126757922370148E-4</v>
      </c>
      <c r="I85" s="1">
        <v>46164</v>
      </c>
      <c r="J85" s="2">
        <v>1423.1</v>
      </c>
      <c r="K85">
        <f t="shared" si="8"/>
        <v>1.1802346249555571E-2</v>
      </c>
      <c r="M85" s="1">
        <v>46164</v>
      </c>
      <c r="N85">
        <v>301.7</v>
      </c>
      <c r="O85">
        <f t="shared" si="9"/>
        <v>-2.0613536763512491E-2</v>
      </c>
      <c r="Q85" s="1">
        <v>46164</v>
      </c>
      <c r="R85" s="2">
        <v>2203.6</v>
      </c>
      <c r="S85">
        <f t="shared" si="10"/>
        <v>1.1289582377237223E-2</v>
      </c>
      <c r="U85" s="1">
        <v>46164</v>
      </c>
      <c r="V85" s="2">
        <v>50249.8</v>
      </c>
      <c r="W85">
        <f t="shared" si="11"/>
        <v>-2.735580753846475E-4</v>
      </c>
    </row>
    <row r="86" spans="1:23" x14ac:dyDescent="0.25">
      <c r="A86" s="1">
        <v>46163</v>
      </c>
      <c r="B86">
        <v>446.85</v>
      </c>
      <c r="C86">
        <f t="shared" si="6"/>
        <v>-8.9820359281436116E-3</v>
      </c>
      <c r="E86" s="1">
        <v>46163</v>
      </c>
      <c r="F86" s="2">
        <v>5333</v>
      </c>
      <c r="G86">
        <f t="shared" si="7"/>
        <v>-2.1517447843577508E-3</v>
      </c>
      <c r="I86" s="1">
        <v>46163</v>
      </c>
      <c r="J86" s="2">
        <v>1406.5</v>
      </c>
      <c r="K86">
        <f t="shared" si="8"/>
        <v>-9.5767903668755091E-3</v>
      </c>
      <c r="M86" s="1">
        <v>46163</v>
      </c>
      <c r="N86">
        <v>308.05</v>
      </c>
      <c r="O86">
        <f t="shared" si="9"/>
        <v>1.6257519102584946E-3</v>
      </c>
      <c r="Q86" s="1">
        <v>46163</v>
      </c>
      <c r="R86" s="2">
        <v>2179</v>
      </c>
      <c r="S86">
        <f t="shared" si="10"/>
        <v>-1.3714751278685638E-2</v>
      </c>
      <c r="U86" s="1">
        <v>46163</v>
      </c>
      <c r="V86" s="2">
        <v>50263.55</v>
      </c>
      <c r="W86">
        <f t="shared" si="11"/>
        <v>-5.0870388386508062E-3</v>
      </c>
    </row>
    <row r="87" spans="1:23" x14ac:dyDescent="0.25">
      <c r="A87" s="1">
        <v>46162</v>
      </c>
      <c r="B87">
        <v>450.9</v>
      </c>
      <c r="C87">
        <f t="shared" si="6"/>
        <v>-4.1961130742050219E-3</v>
      </c>
      <c r="E87" s="1">
        <v>46162</v>
      </c>
      <c r="F87" s="2">
        <v>5344.5</v>
      </c>
      <c r="G87">
        <f t="shared" si="7"/>
        <v>-1.3292716698975353E-2</v>
      </c>
      <c r="I87" s="1">
        <v>46162</v>
      </c>
      <c r="J87" s="2">
        <v>1420.1</v>
      </c>
      <c r="K87">
        <f t="shared" si="8"/>
        <v>-7.8943691490849389E-3</v>
      </c>
      <c r="M87" s="1">
        <v>46162</v>
      </c>
      <c r="N87">
        <v>307.55</v>
      </c>
      <c r="O87">
        <f t="shared" si="9"/>
        <v>-8.8623912342893976E-3</v>
      </c>
      <c r="Q87" s="1">
        <v>46162</v>
      </c>
      <c r="R87" s="2">
        <v>2209.3000000000002</v>
      </c>
      <c r="S87">
        <f t="shared" si="10"/>
        <v>-1.0569214922298314E-2</v>
      </c>
      <c r="U87" s="1">
        <v>46162</v>
      </c>
      <c r="V87" s="2">
        <v>50520.55</v>
      </c>
      <c r="W87">
        <f t="shared" si="11"/>
        <v>-7.1300336947153764E-3</v>
      </c>
    </row>
    <row r="88" spans="1:23" x14ac:dyDescent="0.25">
      <c r="A88" s="1">
        <v>46161</v>
      </c>
      <c r="B88">
        <v>452.8</v>
      </c>
      <c r="C88">
        <f t="shared" si="6"/>
        <v>-7.7791169058836667E-3</v>
      </c>
      <c r="E88" s="1">
        <v>46161</v>
      </c>
      <c r="F88" s="2">
        <v>5416.5</v>
      </c>
      <c r="G88">
        <f t="shared" si="7"/>
        <v>6.6908279899637584E-3</v>
      </c>
      <c r="I88" s="1">
        <v>46161</v>
      </c>
      <c r="J88" s="2">
        <v>1431.4</v>
      </c>
      <c r="K88">
        <f t="shared" si="8"/>
        <v>-2.0954110498006183E-4</v>
      </c>
      <c r="M88" s="1">
        <v>46161</v>
      </c>
      <c r="N88">
        <v>310.3</v>
      </c>
      <c r="O88">
        <f t="shared" si="9"/>
        <v>4.8363694986307954E-4</v>
      </c>
      <c r="Q88" s="1">
        <v>46161</v>
      </c>
      <c r="R88" s="2">
        <v>2232.9</v>
      </c>
      <c r="S88">
        <f t="shared" si="10"/>
        <v>-9.4490284801702282E-3</v>
      </c>
      <c r="U88" s="1">
        <v>46161</v>
      </c>
      <c r="V88" s="2">
        <v>50883.35</v>
      </c>
      <c r="W88">
        <f t="shared" si="11"/>
        <v>-3.2907597431046305E-4</v>
      </c>
    </row>
    <row r="89" spans="1:23" x14ac:dyDescent="0.25">
      <c r="A89" s="1">
        <v>46160</v>
      </c>
      <c r="B89">
        <v>456.35</v>
      </c>
      <c r="C89">
        <f t="shared" si="6"/>
        <v>-2.4267692965576151E-2</v>
      </c>
      <c r="E89" s="1">
        <v>46160</v>
      </c>
      <c r="F89" s="2">
        <v>5380.5</v>
      </c>
      <c r="G89">
        <f t="shared" si="7"/>
        <v>-4.7169811320754715E-3</v>
      </c>
      <c r="I89" s="1">
        <v>46160</v>
      </c>
      <c r="J89" s="2">
        <v>1431.7</v>
      </c>
      <c r="K89">
        <f t="shared" si="8"/>
        <v>8.3886752883610314E-4</v>
      </c>
      <c r="M89" s="1">
        <v>46160</v>
      </c>
      <c r="N89">
        <v>310.14999999999998</v>
      </c>
      <c r="O89">
        <f t="shared" si="9"/>
        <v>2.2620778801098356E-3</v>
      </c>
      <c r="Q89" s="1">
        <v>46160</v>
      </c>
      <c r="R89" s="2">
        <v>2254.1999999999998</v>
      </c>
      <c r="S89">
        <f t="shared" si="10"/>
        <v>-7.9218378663850012E-3</v>
      </c>
      <c r="U89" s="1">
        <v>46160</v>
      </c>
      <c r="V89" s="2">
        <v>50900.1</v>
      </c>
      <c r="W89">
        <f t="shared" si="11"/>
        <v>-2.96270323899368E-3</v>
      </c>
    </row>
    <row r="90" spans="1:23" x14ac:dyDescent="0.25">
      <c r="A90" s="1">
        <v>46157</v>
      </c>
      <c r="B90">
        <v>467.7</v>
      </c>
      <c r="C90">
        <f t="shared" si="6"/>
        <v>6.347498655190938E-3</v>
      </c>
      <c r="E90" s="1">
        <v>46157</v>
      </c>
      <c r="F90" s="2">
        <v>5406</v>
      </c>
      <c r="G90">
        <f t="shared" si="7"/>
        <v>6.2354583527221962E-3</v>
      </c>
      <c r="I90" s="1">
        <v>46157</v>
      </c>
      <c r="J90" s="2">
        <v>1430.5</v>
      </c>
      <c r="K90">
        <f t="shared" si="8"/>
        <v>-1.9936969032611614E-2</v>
      </c>
      <c r="M90" s="1">
        <v>46157</v>
      </c>
      <c r="N90">
        <v>309.45</v>
      </c>
      <c r="O90">
        <f t="shared" si="9"/>
        <v>7.32421875E-3</v>
      </c>
      <c r="Q90" s="1">
        <v>46157</v>
      </c>
      <c r="R90" s="2">
        <v>2272.1999999999998</v>
      </c>
      <c r="S90">
        <f t="shared" si="10"/>
        <v>1.0450482501000578E-2</v>
      </c>
      <c r="U90" s="1">
        <v>46157</v>
      </c>
      <c r="V90" s="2">
        <v>51051.35</v>
      </c>
      <c r="W90">
        <f t="shared" si="11"/>
        <v>5.3604678298080433E-3</v>
      </c>
    </row>
    <row r="91" spans="1:23" x14ac:dyDescent="0.25">
      <c r="A91" s="1">
        <v>46156</v>
      </c>
      <c r="B91">
        <v>464.75</v>
      </c>
      <c r="C91">
        <f t="shared" si="6"/>
        <v>3.5629453681709721E-3</v>
      </c>
      <c r="E91" s="1">
        <v>46156</v>
      </c>
      <c r="F91" s="2">
        <v>5372.5</v>
      </c>
      <c r="G91">
        <f t="shared" si="7"/>
        <v>6.8403298350824589E-3</v>
      </c>
      <c r="I91" s="1">
        <v>46156</v>
      </c>
      <c r="J91" s="2">
        <v>1459.6</v>
      </c>
      <c r="K91">
        <f t="shared" si="8"/>
        <v>-6.3312682960039359E-3</v>
      </c>
      <c r="M91" s="1">
        <v>46156</v>
      </c>
      <c r="N91">
        <v>307.2</v>
      </c>
      <c r="O91">
        <f t="shared" si="9"/>
        <v>9.0326818853670564E-3</v>
      </c>
      <c r="Q91" s="1">
        <v>46156</v>
      </c>
      <c r="R91" s="2">
        <v>2248.6999999999998</v>
      </c>
      <c r="S91">
        <f t="shared" si="10"/>
        <v>-8.2035901733340817E-3</v>
      </c>
      <c r="U91" s="1">
        <v>46156</v>
      </c>
      <c r="V91" s="2">
        <v>50779.15</v>
      </c>
      <c r="W91">
        <f t="shared" si="11"/>
        <v>3.444333892897675E-3</v>
      </c>
    </row>
    <row r="92" spans="1:23" x14ac:dyDescent="0.25">
      <c r="A92" s="1">
        <v>46155</v>
      </c>
      <c r="B92">
        <v>463.1</v>
      </c>
      <c r="C92">
        <f t="shared" si="6"/>
        <v>-2.1447437929212842E-2</v>
      </c>
      <c r="E92" s="1">
        <v>46155</v>
      </c>
      <c r="F92" s="2">
        <v>5336</v>
      </c>
      <c r="G92">
        <f t="shared" si="7"/>
        <v>3.7495313085864269E-4</v>
      </c>
      <c r="I92" s="1">
        <v>46155</v>
      </c>
      <c r="J92" s="2">
        <v>1468.9</v>
      </c>
      <c r="K92">
        <f t="shared" si="8"/>
        <v>2.0427618139737296E-4</v>
      </c>
      <c r="M92" s="1">
        <v>46155</v>
      </c>
      <c r="N92">
        <v>304.45</v>
      </c>
      <c r="O92">
        <f t="shared" si="9"/>
        <v>1.2470901230462255E-2</v>
      </c>
      <c r="Q92" s="1">
        <v>46155</v>
      </c>
      <c r="R92" s="2">
        <v>2267.3000000000002</v>
      </c>
      <c r="S92">
        <f t="shared" si="10"/>
        <v>2.3430592396110443E-3</v>
      </c>
      <c r="U92" s="1">
        <v>46155</v>
      </c>
      <c r="V92" s="2">
        <v>50604.85</v>
      </c>
      <c r="W92">
        <f t="shared" si="11"/>
        <v>2.9918400757919027E-3</v>
      </c>
    </row>
    <row r="93" spans="1:23" x14ac:dyDescent="0.25">
      <c r="A93" s="1">
        <v>46154</v>
      </c>
      <c r="B93">
        <v>473.25</v>
      </c>
      <c r="C93">
        <f t="shared" si="6"/>
        <v>-4.224310909282683E-4</v>
      </c>
      <c r="E93" s="1">
        <v>46154</v>
      </c>
      <c r="F93" s="2">
        <v>5334</v>
      </c>
      <c r="G93">
        <f t="shared" si="7"/>
        <v>-1.4139173828666482E-2</v>
      </c>
      <c r="I93" s="1">
        <v>46154</v>
      </c>
      <c r="J93" s="2">
        <v>1468.6</v>
      </c>
      <c r="K93">
        <f t="shared" si="8"/>
        <v>-8.9749645725083881E-3</v>
      </c>
      <c r="M93" s="1">
        <v>46154</v>
      </c>
      <c r="N93">
        <v>300.7</v>
      </c>
      <c r="O93">
        <f t="shared" si="9"/>
        <v>-1.6838319437632938E-2</v>
      </c>
      <c r="Q93" s="1">
        <v>46154</v>
      </c>
      <c r="R93" s="2">
        <v>2262</v>
      </c>
      <c r="S93">
        <f t="shared" si="10"/>
        <v>-1.9590846047156649E-2</v>
      </c>
      <c r="U93" s="1">
        <v>46154</v>
      </c>
      <c r="V93" s="2">
        <v>50453.9</v>
      </c>
      <c r="W93">
        <f t="shared" si="11"/>
        <v>-1.4680997116529133E-2</v>
      </c>
    </row>
    <row r="94" spans="1:23" x14ac:dyDescent="0.25">
      <c r="A94" s="1">
        <v>46153</v>
      </c>
      <c r="B94">
        <v>473.45</v>
      </c>
      <c r="C94">
        <f t="shared" si="6"/>
        <v>-2.92187820381382E-2</v>
      </c>
      <c r="E94" s="1">
        <v>46153</v>
      </c>
      <c r="F94" s="2">
        <v>5410.5</v>
      </c>
      <c r="G94">
        <f t="shared" si="7"/>
        <v>-1.983695652173913E-2</v>
      </c>
      <c r="I94" s="1">
        <v>46153</v>
      </c>
      <c r="J94" s="2">
        <v>1481.9</v>
      </c>
      <c r="K94">
        <f t="shared" si="8"/>
        <v>-3.3729087965461414E-4</v>
      </c>
      <c r="M94" s="1">
        <v>46153</v>
      </c>
      <c r="N94">
        <v>305.85000000000002</v>
      </c>
      <c r="O94">
        <f t="shared" si="9"/>
        <v>-5.2040982273539307E-3</v>
      </c>
      <c r="Q94" s="1">
        <v>46153</v>
      </c>
      <c r="R94" s="2">
        <v>2307.1999999999998</v>
      </c>
      <c r="S94">
        <f t="shared" si="10"/>
        <v>8.5238449097346687E-3</v>
      </c>
      <c r="U94" s="1">
        <v>46153</v>
      </c>
      <c r="V94" s="2">
        <v>51205.65</v>
      </c>
      <c r="W94">
        <f t="shared" si="11"/>
        <v>7.7688460478560911E-4</v>
      </c>
    </row>
    <row r="95" spans="1:23" x14ac:dyDescent="0.25">
      <c r="A95" s="1">
        <v>46150</v>
      </c>
      <c r="B95">
        <v>487.7</v>
      </c>
      <c r="C95">
        <f t="shared" si="6"/>
        <v>3.7659574468085079E-2</v>
      </c>
      <c r="E95" s="1">
        <v>46150</v>
      </c>
      <c r="F95" s="2">
        <v>5520</v>
      </c>
      <c r="G95">
        <f t="shared" si="7"/>
        <v>-5.0567595459236329E-2</v>
      </c>
      <c r="I95" s="1">
        <v>46150</v>
      </c>
      <c r="J95" s="2">
        <v>1482.4</v>
      </c>
      <c r="K95">
        <f t="shared" si="8"/>
        <v>4.3360433604336659E-3</v>
      </c>
      <c r="M95" s="1">
        <v>46150</v>
      </c>
      <c r="N95">
        <v>307.45</v>
      </c>
      <c r="O95">
        <f t="shared" si="9"/>
        <v>1.626545217957429E-4</v>
      </c>
      <c r="Q95" s="1">
        <v>46150</v>
      </c>
      <c r="R95" s="2">
        <v>2287.6999999999998</v>
      </c>
      <c r="S95">
        <f t="shared" si="10"/>
        <v>6.8215826071648632E-3</v>
      </c>
      <c r="U95" s="1">
        <v>46150</v>
      </c>
      <c r="V95" s="2">
        <v>51165.9</v>
      </c>
      <c r="W95">
        <f t="shared" si="11"/>
        <v>1.908223178890379E-3</v>
      </c>
    </row>
    <row r="96" spans="1:23" x14ac:dyDescent="0.25">
      <c r="A96" s="1">
        <v>46149</v>
      </c>
      <c r="B96">
        <v>470</v>
      </c>
      <c r="C96">
        <f t="shared" si="6"/>
        <v>8.0428954423592495E-3</v>
      </c>
      <c r="E96" s="1">
        <v>46149</v>
      </c>
      <c r="F96" s="2">
        <v>5814</v>
      </c>
      <c r="G96">
        <f t="shared" si="7"/>
        <v>5.3605395123638251E-3</v>
      </c>
      <c r="I96" s="1">
        <v>46149</v>
      </c>
      <c r="J96" s="2">
        <v>1476</v>
      </c>
      <c r="K96">
        <f t="shared" si="8"/>
        <v>-6.7963124957943002E-3</v>
      </c>
      <c r="M96" s="1">
        <v>46149</v>
      </c>
      <c r="N96">
        <v>307.39999999999998</v>
      </c>
      <c r="O96">
        <f t="shared" si="9"/>
        <v>-1.0621177985194758E-2</v>
      </c>
      <c r="Q96" s="1">
        <v>46149</v>
      </c>
      <c r="R96" s="2">
        <v>2272.1999999999998</v>
      </c>
      <c r="S96">
        <f t="shared" si="10"/>
        <v>-1.9377670363816879E-2</v>
      </c>
      <c r="U96" s="1">
        <v>46149</v>
      </c>
      <c r="V96" s="2">
        <v>51068.45</v>
      </c>
      <c r="W96">
        <f t="shared" si="11"/>
        <v>-7.6194288634693135E-3</v>
      </c>
    </row>
    <row r="97" spans="1:23" x14ac:dyDescent="0.25">
      <c r="A97" s="1">
        <v>46148</v>
      </c>
      <c r="B97">
        <v>466.25</v>
      </c>
      <c r="C97">
        <f t="shared" si="6"/>
        <v>1.2376506351101919E-2</v>
      </c>
      <c r="E97" s="1">
        <v>46148</v>
      </c>
      <c r="F97" s="2">
        <v>5783</v>
      </c>
      <c r="G97">
        <f t="shared" si="7"/>
        <v>-8.8268060673579573E-3</v>
      </c>
      <c r="I97" s="1">
        <v>46148</v>
      </c>
      <c r="J97" s="2">
        <v>1486.1</v>
      </c>
      <c r="K97">
        <f t="shared" si="8"/>
        <v>5.6164568953850011E-3</v>
      </c>
      <c r="M97" s="1">
        <v>46148</v>
      </c>
      <c r="N97">
        <v>310.7</v>
      </c>
      <c r="O97">
        <f t="shared" si="9"/>
        <v>-2.4080911863862578E-3</v>
      </c>
      <c r="Q97" s="1">
        <v>46148</v>
      </c>
      <c r="R97" s="2">
        <v>2317.1</v>
      </c>
      <c r="S97">
        <f t="shared" si="10"/>
        <v>-4.4255392283235294E-3</v>
      </c>
      <c r="U97" s="1">
        <v>46148</v>
      </c>
      <c r="V97" s="2">
        <v>51460.55</v>
      </c>
      <c r="W97">
        <f t="shared" si="11"/>
        <v>-2.5778416100462171E-3</v>
      </c>
    </row>
    <row r="98" spans="1:23" x14ac:dyDescent="0.25">
      <c r="A98" s="1">
        <v>46147</v>
      </c>
      <c r="B98">
        <v>460.55</v>
      </c>
      <c r="C98">
        <f t="shared" si="6"/>
        <v>3.3434309435655861E-2</v>
      </c>
      <c r="E98" s="1">
        <v>46147</v>
      </c>
      <c r="F98" s="2">
        <v>5834.5</v>
      </c>
      <c r="G98">
        <f t="shared" si="7"/>
        <v>7.2507552870090634E-3</v>
      </c>
      <c r="I98" s="1">
        <v>46147</v>
      </c>
      <c r="J98" s="2">
        <v>1477.8</v>
      </c>
      <c r="K98">
        <f t="shared" si="8"/>
        <v>1.42063001852996E-2</v>
      </c>
      <c r="M98" s="1">
        <v>46147</v>
      </c>
      <c r="N98">
        <v>311.45</v>
      </c>
      <c r="O98">
        <f t="shared" si="9"/>
        <v>1.125040180006319E-3</v>
      </c>
      <c r="Q98" s="1">
        <v>46147</v>
      </c>
      <c r="R98" s="2">
        <v>2327.4</v>
      </c>
      <c r="S98">
        <f t="shared" si="10"/>
        <v>7.8378729485124969E-3</v>
      </c>
      <c r="U98" s="1">
        <v>46147</v>
      </c>
      <c r="V98" s="2">
        <v>51593.55</v>
      </c>
      <c r="W98">
        <f t="shared" si="11"/>
        <v>6.3892248273710239E-3</v>
      </c>
    </row>
    <row r="99" spans="1:23" x14ac:dyDescent="0.25">
      <c r="A99" s="1">
        <v>46146</v>
      </c>
      <c r="B99">
        <v>445.65</v>
      </c>
      <c r="C99">
        <f t="shared" si="6"/>
        <v>9.3997734994336977E-3</v>
      </c>
      <c r="E99" s="1">
        <v>46146</v>
      </c>
      <c r="F99" s="2">
        <v>5792.5</v>
      </c>
      <c r="G99">
        <f t="shared" si="7"/>
        <v>1.1613691931540342E-2</v>
      </c>
      <c r="I99" s="1">
        <v>46146</v>
      </c>
      <c r="J99" s="2">
        <v>1457.1</v>
      </c>
      <c r="K99">
        <f t="shared" si="8"/>
        <v>-1.0283833813245578E-3</v>
      </c>
      <c r="M99" s="1">
        <v>46146</v>
      </c>
      <c r="N99">
        <v>311.10000000000002</v>
      </c>
      <c r="O99">
        <f t="shared" si="9"/>
        <v>-1.2067322959669592E-2</v>
      </c>
      <c r="Q99" s="1">
        <v>46146</v>
      </c>
      <c r="R99" s="2">
        <v>2309.3000000000002</v>
      </c>
      <c r="S99">
        <f t="shared" si="10"/>
        <v>2.5945177484561769E-2</v>
      </c>
      <c r="U99" s="1">
        <v>46146</v>
      </c>
      <c r="V99" s="2">
        <v>51266</v>
      </c>
      <c r="W99">
        <f t="shared" si="11"/>
        <v>3.7965934433869266E-3</v>
      </c>
    </row>
    <row r="100" spans="1:23" x14ac:dyDescent="0.25">
      <c r="A100" s="1">
        <v>46142</v>
      </c>
      <c r="B100">
        <v>441.5</v>
      </c>
      <c r="C100">
        <f t="shared" si="6"/>
        <v>-3.1798245614035089E-2</v>
      </c>
      <c r="E100" s="1">
        <v>46142</v>
      </c>
      <c r="F100" s="2">
        <v>5726</v>
      </c>
      <c r="G100">
        <f t="shared" si="7"/>
        <v>2.977754422841128E-3</v>
      </c>
      <c r="I100" s="1">
        <v>46142</v>
      </c>
      <c r="J100" s="2">
        <v>1458.6</v>
      </c>
      <c r="K100">
        <f t="shared" si="8"/>
        <v>-4.7762008733624461E-3</v>
      </c>
      <c r="M100" s="1">
        <v>46142</v>
      </c>
      <c r="N100">
        <v>314.89999999999998</v>
      </c>
      <c r="O100">
        <f t="shared" si="9"/>
        <v>-4.2687747035573846E-3</v>
      </c>
      <c r="Q100" s="1">
        <v>46142</v>
      </c>
      <c r="R100" s="2">
        <v>2250.9</v>
      </c>
      <c r="S100">
        <f t="shared" si="10"/>
        <v>-2.7436916695471828E-2</v>
      </c>
      <c r="U100" s="1">
        <v>46142</v>
      </c>
      <c r="V100" s="2">
        <v>51072.1</v>
      </c>
      <c r="W100">
        <f t="shared" si="11"/>
        <v>-1.3515079637949701E-2</v>
      </c>
    </row>
    <row r="101" spans="1:23" x14ac:dyDescent="0.25">
      <c r="A101" s="1">
        <v>46141</v>
      </c>
      <c r="B101">
        <v>456</v>
      </c>
      <c r="C101">
        <f t="shared" si="6"/>
        <v>1.2995668110629841E-2</v>
      </c>
      <c r="E101" s="1">
        <v>46141</v>
      </c>
      <c r="F101" s="2">
        <v>5709</v>
      </c>
      <c r="G101">
        <f t="shared" si="7"/>
        <v>8.300953726598375E-3</v>
      </c>
      <c r="I101" s="1">
        <v>46141</v>
      </c>
      <c r="J101" s="2">
        <v>1465.6</v>
      </c>
      <c r="K101">
        <f t="shared" si="8"/>
        <v>1.7777777777777715E-2</v>
      </c>
      <c r="M101" s="1">
        <v>46141</v>
      </c>
      <c r="N101">
        <v>316.25</v>
      </c>
      <c r="O101">
        <f t="shared" si="9"/>
        <v>3.8758416817211407E-2</v>
      </c>
      <c r="Q101" s="1">
        <v>46141</v>
      </c>
      <c r="R101" s="2">
        <v>2314.4</v>
      </c>
      <c r="S101">
        <f t="shared" si="10"/>
        <v>1.0875737060493598E-2</v>
      </c>
      <c r="U101" s="1">
        <v>46141</v>
      </c>
      <c r="V101" s="2">
        <v>51771.8</v>
      </c>
      <c r="W101">
        <f t="shared" si="11"/>
        <v>1.7472522613262903E-2</v>
      </c>
    </row>
    <row r="102" spans="1:23" x14ac:dyDescent="0.25">
      <c r="A102" s="1">
        <v>46140</v>
      </c>
      <c r="B102">
        <v>450.15</v>
      </c>
      <c r="C102">
        <f t="shared" si="6"/>
        <v>-4.0929203539823511E-3</v>
      </c>
      <c r="E102" s="1">
        <v>46140</v>
      </c>
      <c r="F102" s="2">
        <v>5662</v>
      </c>
      <c r="G102">
        <f t="shared" si="7"/>
        <v>-9.7070397901180584E-3</v>
      </c>
      <c r="I102" s="1">
        <v>46140</v>
      </c>
      <c r="J102" s="2">
        <v>1440</v>
      </c>
      <c r="K102">
        <f t="shared" si="8"/>
        <v>1.6016369152614156E-2</v>
      </c>
      <c r="M102" s="1">
        <v>46140</v>
      </c>
      <c r="N102">
        <v>304.45</v>
      </c>
      <c r="O102">
        <f t="shared" si="9"/>
        <v>1.9746585486258542E-3</v>
      </c>
      <c r="Q102" s="1">
        <v>46140</v>
      </c>
      <c r="R102" s="2">
        <v>2289.5</v>
      </c>
      <c r="S102">
        <f t="shared" si="10"/>
        <v>-1.6664519177082067E-2</v>
      </c>
      <c r="U102" s="1">
        <v>46140</v>
      </c>
      <c r="V102" s="2">
        <v>50882.75</v>
      </c>
      <c r="W102">
        <f t="shared" si="11"/>
        <v>-3.2078595006513667E-3</v>
      </c>
    </row>
    <row r="103" spans="1:23" x14ac:dyDescent="0.25">
      <c r="A103" s="1">
        <v>46139</v>
      </c>
      <c r="B103">
        <v>452</v>
      </c>
      <c r="C103">
        <f t="shared" si="6"/>
        <v>1.9951230325869589E-3</v>
      </c>
      <c r="E103" s="1">
        <v>46139</v>
      </c>
      <c r="F103" s="2">
        <v>5717.5</v>
      </c>
      <c r="G103">
        <f t="shared" si="7"/>
        <v>-2.2685629526219353E-3</v>
      </c>
      <c r="I103" s="1">
        <v>46139</v>
      </c>
      <c r="J103" s="2">
        <v>1417.3</v>
      </c>
      <c r="K103">
        <f t="shared" si="8"/>
        <v>-2.8143249138112996E-3</v>
      </c>
      <c r="M103" s="1">
        <v>46139</v>
      </c>
      <c r="N103">
        <v>303.85000000000002</v>
      </c>
      <c r="O103">
        <f t="shared" si="9"/>
        <v>7.4602122015915116E-3</v>
      </c>
      <c r="Q103" s="1">
        <v>46139</v>
      </c>
      <c r="R103" s="2">
        <v>2328.3000000000002</v>
      </c>
      <c r="S103">
        <f t="shared" si="10"/>
        <v>4.2968246465861727E-4</v>
      </c>
      <c r="U103" s="1">
        <v>46139</v>
      </c>
      <c r="V103" s="2">
        <v>51046.5</v>
      </c>
      <c r="W103">
        <f t="shared" si="11"/>
        <v>5.52039987196218E-3</v>
      </c>
    </row>
    <row r="104" spans="1:23" x14ac:dyDescent="0.25">
      <c r="A104" s="1">
        <v>46136</v>
      </c>
      <c r="B104">
        <v>451.1</v>
      </c>
      <c r="C104">
        <f t="shared" si="6"/>
        <v>-1.9347826086956472E-2</v>
      </c>
      <c r="E104" s="1">
        <v>46136</v>
      </c>
      <c r="F104" s="2">
        <v>5730.5</v>
      </c>
      <c r="G104">
        <f t="shared" si="7"/>
        <v>1.0402891651238649E-2</v>
      </c>
      <c r="I104" s="1">
        <v>46136</v>
      </c>
      <c r="J104" s="2">
        <v>1421.3</v>
      </c>
      <c r="K104">
        <f t="shared" si="8"/>
        <v>7.6568592697624635E-3</v>
      </c>
      <c r="M104" s="1">
        <v>46136</v>
      </c>
      <c r="N104">
        <v>301.60000000000002</v>
      </c>
      <c r="O104">
        <f t="shared" si="9"/>
        <v>-1.2119226989846016E-2</v>
      </c>
      <c r="Q104" s="1">
        <v>46136</v>
      </c>
      <c r="R104" s="2">
        <v>2327.3000000000002</v>
      </c>
      <c r="S104">
        <f t="shared" si="10"/>
        <v>-1.6522988505747089E-2</v>
      </c>
      <c r="U104" s="1">
        <v>46136</v>
      </c>
      <c r="V104" s="2">
        <v>50766.25</v>
      </c>
      <c r="W104">
        <f t="shared" si="11"/>
        <v>-7.3180747157341047E-3</v>
      </c>
    </row>
    <row r="105" spans="1:23" x14ac:dyDescent="0.25">
      <c r="A105" s="1">
        <v>46135</v>
      </c>
      <c r="B105">
        <v>460</v>
      </c>
      <c r="C105">
        <f t="shared" si="6"/>
        <v>0</v>
      </c>
      <c r="E105" s="1">
        <v>46135</v>
      </c>
      <c r="F105" s="2">
        <v>5671.5</v>
      </c>
      <c r="G105">
        <f t="shared" si="7"/>
        <v>-1.0123047386333886E-2</v>
      </c>
      <c r="I105" s="1">
        <v>46135</v>
      </c>
      <c r="J105" s="2">
        <v>1410.5</v>
      </c>
      <c r="K105">
        <f t="shared" si="8"/>
        <v>1.0531594784353093E-2</v>
      </c>
      <c r="M105" s="1">
        <v>46135</v>
      </c>
      <c r="N105">
        <v>305.3</v>
      </c>
      <c r="O105">
        <f t="shared" si="9"/>
        <v>-6.5466448445168125E-4</v>
      </c>
      <c r="Q105" s="1">
        <v>46135</v>
      </c>
      <c r="R105" s="2">
        <v>2366.4</v>
      </c>
      <c r="S105">
        <f t="shared" si="10"/>
        <v>-1.0131712259372216E-3</v>
      </c>
      <c r="U105" s="1">
        <v>46135</v>
      </c>
      <c r="V105" s="2">
        <v>51140.5</v>
      </c>
      <c r="W105">
        <f t="shared" si="11"/>
        <v>-1.1426004414148714E-3</v>
      </c>
    </row>
    <row r="106" spans="1:23" x14ac:dyDescent="0.25">
      <c r="A106" s="1">
        <v>46134</v>
      </c>
      <c r="B106">
        <v>460</v>
      </c>
      <c r="C106">
        <f t="shared" si="6"/>
        <v>1.7699115044247787E-2</v>
      </c>
      <c r="E106" s="1">
        <v>46134</v>
      </c>
      <c r="F106" s="2">
        <v>5729.5</v>
      </c>
      <c r="G106">
        <f t="shared" si="7"/>
        <v>-1.8501070663811563E-2</v>
      </c>
      <c r="I106" s="1">
        <v>46134</v>
      </c>
      <c r="J106" s="2">
        <v>1395.8</v>
      </c>
      <c r="K106">
        <f t="shared" si="8"/>
        <v>1.1522574099572334E-2</v>
      </c>
      <c r="M106" s="1">
        <v>46134</v>
      </c>
      <c r="N106">
        <v>305.5</v>
      </c>
      <c r="O106">
        <f t="shared" si="9"/>
        <v>-1.3402228322299297E-2</v>
      </c>
      <c r="Q106" s="1">
        <v>46134</v>
      </c>
      <c r="R106" s="2">
        <v>2368.8000000000002</v>
      </c>
      <c r="S106">
        <f t="shared" si="10"/>
        <v>2.514389578915496E-2</v>
      </c>
      <c r="U106" s="1">
        <v>46134</v>
      </c>
      <c r="V106" s="2">
        <v>51199</v>
      </c>
      <c r="W106">
        <f t="shared" si="11"/>
        <v>7.455711421268385E-3</v>
      </c>
    </row>
    <row r="107" spans="1:23" x14ac:dyDescent="0.25">
      <c r="A107" s="1">
        <v>46133</v>
      </c>
      <c r="B107">
        <v>452</v>
      </c>
      <c r="C107">
        <f t="shared" si="6"/>
        <v>2.3318994792845851E-2</v>
      </c>
      <c r="E107" s="1">
        <v>46133</v>
      </c>
      <c r="F107" s="2">
        <v>5837.5</v>
      </c>
      <c r="G107">
        <f t="shared" si="7"/>
        <v>2.4122807017543858E-2</v>
      </c>
      <c r="I107" s="1">
        <v>46133</v>
      </c>
      <c r="J107" s="2">
        <v>1379.9</v>
      </c>
      <c r="K107">
        <f t="shared" si="8"/>
        <v>7.2683457711442787E-2</v>
      </c>
      <c r="M107" s="1">
        <v>46133</v>
      </c>
      <c r="N107">
        <v>309.64999999999998</v>
      </c>
      <c r="O107">
        <f t="shared" si="9"/>
        <v>1.5245901639344188E-2</v>
      </c>
      <c r="Q107" s="1">
        <v>46133</v>
      </c>
      <c r="R107" s="2">
        <v>2310.6999999999998</v>
      </c>
      <c r="S107">
        <f t="shared" si="10"/>
        <v>3.5491821644633575E-2</v>
      </c>
      <c r="U107" s="1">
        <v>46133</v>
      </c>
      <c r="V107" s="2">
        <v>50820.1</v>
      </c>
      <c r="W107">
        <f t="shared" si="11"/>
        <v>2.5513689127901376E-2</v>
      </c>
    </row>
    <row r="108" spans="1:23" x14ac:dyDescent="0.25">
      <c r="A108" s="1">
        <v>46132</v>
      </c>
      <c r="B108">
        <v>441.7</v>
      </c>
      <c r="C108">
        <f t="shared" si="6"/>
        <v>-2.5968160776787489E-3</v>
      </c>
      <c r="E108" s="1">
        <v>46132</v>
      </c>
      <c r="F108" s="2">
        <v>5700</v>
      </c>
      <c r="G108">
        <f t="shared" si="7"/>
        <v>-6.1895214017958326E-3</v>
      </c>
      <c r="I108" s="1">
        <v>46132</v>
      </c>
      <c r="J108" s="2">
        <v>1286.4000000000001</v>
      </c>
      <c r="K108">
        <f t="shared" si="8"/>
        <v>6.2227753578109979E-4</v>
      </c>
      <c r="M108" s="1">
        <v>46132</v>
      </c>
      <c r="N108">
        <v>305</v>
      </c>
      <c r="O108">
        <f t="shared" si="9"/>
        <v>-5.8670143415906493E-3</v>
      </c>
      <c r="Q108" s="1">
        <v>46132</v>
      </c>
      <c r="R108" s="2">
        <v>2231.5</v>
      </c>
      <c r="S108">
        <f t="shared" si="10"/>
        <v>-4.1503034630489917E-3</v>
      </c>
      <c r="U108" s="1">
        <v>46132</v>
      </c>
      <c r="V108" s="2">
        <v>49555.75</v>
      </c>
      <c r="W108">
        <f t="shared" si="11"/>
        <v>-2.0540600409805114E-3</v>
      </c>
    </row>
    <row r="109" spans="1:23" x14ac:dyDescent="0.25">
      <c r="A109" s="1">
        <v>46129</v>
      </c>
      <c r="B109">
        <v>442.85</v>
      </c>
      <c r="C109">
        <f t="shared" si="6"/>
        <v>3.578528827037776E-2</v>
      </c>
      <c r="E109" s="1">
        <v>46129</v>
      </c>
      <c r="F109" s="2">
        <v>5735.5</v>
      </c>
      <c r="G109">
        <f t="shared" si="7"/>
        <v>2.6763336913712854E-2</v>
      </c>
      <c r="I109" s="1">
        <v>46129</v>
      </c>
      <c r="J109" s="2">
        <v>1285.5999999999999</v>
      </c>
      <c r="K109">
        <f t="shared" si="8"/>
        <v>2.2427230793701142E-2</v>
      </c>
      <c r="M109" s="1">
        <v>46129</v>
      </c>
      <c r="N109">
        <v>306.8</v>
      </c>
      <c r="O109">
        <f t="shared" si="9"/>
        <v>1.1206328279499125E-2</v>
      </c>
      <c r="Q109" s="1">
        <v>46129</v>
      </c>
      <c r="R109" s="2">
        <v>2240.8000000000002</v>
      </c>
      <c r="S109">
        <f t="shared" si="10"/>
        <v>4.7543359356738944E-2</v>
      </c>
      <c r="U109" s="1">
        <v>46129</v>
      </c>
      <c r="V109" s="2">
        <v>49657.75</v>
      </c>
      <c r="W109">
        <f t="shared" si="11"/>
        <v>2.6455261596720785E-2</v>
      </c>
    </row>
    <row r="110" spans="1:23" x14ac:dyDescent="0.25">
      <c r="A110" s="1">
        <v>46128</v>
      </c>
      <c r="B110">
        <v>427.55</v>
      </c>
      <c r="C110">
        <f t="shared" si="6"/>
        <v>-1.3156376226197319E-2</v>
      </c>
      <c r="E110" s="1">
        <v>46128</v>
      </c>
      <c r="F110" s="2">
        <v>5586</v>
      </c>
      <c r="G110">
        <f t="shared" si="7"/>
        <v>-1.2114245291360863E-2</v>
      </c>
      <c r="I110" s="1">
        <v>46128</v>
      </c>
      <c r="J110" s="2">
        <v>1257.4000000000001</v>
      </c>
      <c r="K110">
        <f t="shared" si="8"/>
        <v>6.3663854846425429E-4</v>
      </c>
      <c r="M110" s="1">
        <v>46128</v>
      </c>
      <c r="N110">
        <v>303.39999999999998</v>
      </c>
      <c r="O110">
        <f t="shared" si="9"/>
        <v>4.4694586988907993E-3</v>
      </c>
      <c r="Q110" s="1">
        <v>46128</v>
      </c>
      <c r="R110" s="2">
        <v>2139.1</v>
      </c>
      <c r="S110">
        <f t="shared" si="10"/>
        <v>-8.574341861327401E-3</v>
      </c>
      <c r="U110" s="1">
        <v>46128</v>
      </c>
      <c r="V110" s="2">
        <v>48377.9</v>
      </c>
      <c r="W110">
        <f t="shared" si="11"/>
        <v>1.811954342892169E-3</v>
      </c>
    </row>
    <row r="111" spans="1:23" x14ac:dyDescent="0.25">
      <c r="A111" s="1">
        <v>46127</v>
      </c>
      <c r="B111">
        <v>433.25</v>
      </c>
      <c r="C111">
        <f t="shared" si="6"/>
        <v>2.0011771630370805E-2</v>
      </c>
      <c r="E111" s="1">
        <v>46127</v>
      </c>
      <c r="F111" s="2">
        <v>5654.5</v>
      </c>
      <c r="G111">
        <f t="shared" si="7"/>
        <v>1.1719448917516551E-2</v>
      </c>
      <c r="I111" s="1">
        <v>46127</v>
      </c>
      <c r="J111" s="2">
        <v>1256.5999999999999</v>
      </c>
      <c r="K111">
        <f t="shared" si="8"/>
        <v>2.4875621890547265E-2</v>
      </c>
      <c r="M111" s="1">
        <v>46127</v>
      </c>
      <c r="N111">
        <v>302.05</v>
      </c>
      <c r="O111">
        <f t="shared" si="9"/>
        <v>1.138456387075183E-2</v>
      </c>
      <c r="Q111" s="1">
        <v>46127</v>
      </c>
      <c r="R111" s="2">
        <v>2157.6</v>
      </c>
      <c r="S111">
        <f t="shared" si="10"/>
        <v>1.4291086874764993E-2</v>
      </c>
      <c r="U111" s="1">
        <v>46127</v>
      </c>
      <c r="V111" s="2">
        <v>48290.400000000001</v>
      </c>
      <c r="W111">
        <f t="shared" si="11"/>
        <v>1.5135462388375964E-2</v>
      </c>
    </row>
    <row r="112" spans="1:23" x14ac:dyDescent="0.25">
      <c r="A112" s="1">
        <v>46125</v>
      </c>
      <c r="B112">
        <v>424.75</v>
      </c>
      <c r="C112">
        <f t="shared" si="6"/>
        <v>-2.5131971540050469E-2</v>
      </c>
      <c r="E112" s="1">
        <v>46125</v>
      </c>
      <c r="F112" s="2">
        <v>5589</v>
      </c>
      <c r="G112">
        <f t="shared" si="7"/>
        <v>5.6680161943319842E-3</v>
      </c>
      <c r="I112" s="1">
        <v>46125</v>
      </c>
      <c r="J112" s="2">
        <v>1226.0999999999999</v>
      </c>
      <c r="K112">
        <f t="shared" si="8"/>
        <v>-1.8570399423677296E-2</v>
      </c>
      <c r="M112" s="1">
        <v>46125</v>
      </c>
      <c r="N112">
        <v>298.64999999999998</v>
      </c>
      <c r="O112">
        <f t="shared" si="9"/>
        <v>-1.8405916187346008E-2</v>
      </c>
      <c r="Q112" s="1">
        <v>46125</v>
      </c>
      <c r="R112" s="2">
        <v>2127.1999999999998</v>
      </c>
      <c r="S112">
        <f t="shared" si="10"/>
        <v>-1.3037628172412361E-2</v>
      </c>
      <c r="U112" s="1">
        <v>46125</v>
      </c>
      <c r="V112" s="2">
        <v>47570.400000000001</v>
      </c>
      <c r="W112">
        <f t="shared" si="11"/>
        <v>-1.2940394094291752E-2</v>
      </c>
    </row>
    <row r="113" spans="1:23" x14ac:dyDescent="0.25">
      <c r="A113" s="1">
        <v>46122</v>
      </c>
      <c r="B113">
        <v>435.7</v>
      </c>
      <c r="C113">
        <f t="shared" si="6"/>
        <v>1.4671634839310693E-2</v>
      </c>
      <c r="E113" s="1">
        <v>46122</v>
      </c>
      <c r="F113" s="2">
        <v>5557.5</v>
      </c>
      <c r="G113">
        <f t="shared" si="7"/>
        <v>1.5068493150684932E-2</v>
      </c>
      <c r="I113" s="1">
        <v>46122</v>
      </c>
      <c r="J113" s="2">
        <v>1249.3</v>
      </c>
      <c r="K113">
        <f t="shared" si="8"/>
        <v>1.6765687311792878E-2</v>
      </c>
      <c r="M113" s="1">
        <v>46122</v>
      </c>
      <c r="N113">
        <v>304.25</v>
      </c>
      <c r="O113">
        <f t="shared" si="9"/>
        <v>4.125412541254125E-3</v>
      </c>
      <c r="Q113" s="1">
        <v>46122</v>
      </c>
      <c r="R113" s="2">
        <v>2155.3000000000002</v>
      </c>
      <c r="S113">
        <f t="shared" si="10"/>
        <v>1.036002250140651E-2</v>
      </c>
      <c r="U113" s="1">
        <v>46122</v>
      </c>
      <c r="V113" s="2">
        <v>48194.05</v>
      </c>
      <c r="W113">
        <f t="shared" si="11"/>
        <v>1.1615068628294837E-2</v>
      </c>
    </row>
    <row r="114" spans="1:23" x14ac:dyDescent="0.25">
      <c r="A114" s="1">
        <v>46121</v>
      </c>
      <c r="B114">
        <v>429.4</v>
      </c>
      <c r="C114">
        <f t="shared" si="6"/>
        <v>5.0321825629022288E-3</v>
      </c>
      <c r="E114" s="1">
        <v>46121</v>
      </c>
      <c r="F114" s="2">
        <v>5475</v>
      </c>
      <c r="G114">
        <f t="shared" si="7"/>
        <v>-2.1360264545535794E-2</v>
      </c>
      <c r="I114" s="1">
        <v>46121</v>
      </c>
      <c r="J114" s="2">
        <v>1228.7</v>
      </c>
      <c r="K114">
        <f t="shared" si="8"/>
        <v>1.2358902529455384E-2</v>
      </c>
      <c r="M114" s="1">
        <v>46121</v>
      </c>
      <c r="N114">
        <v>303</v>
      </c>
      <c r="O114">
        <f t="shared" si="9"/>
        <v>1.8184823937841342E-3</v>
      </c>
      <c r="Q114" s="1">
        <v>46121</v>
      </c>
      <c r="R114" s="2">
        <v>2133.1999999999998</v>
      </c>
      <c r="S114">
        <f t="shared" si="10"/>
        <v>-5.7792692020880365E-3</v>
      </c>
      <c r="U114" s="1">
        <v>46121</v>
      </c>
      <c r="V114" s="2">
        <v>47640.7</v>
      </c>
      <c r="W114">
        <f t="shared" si="11"/>
        <v>-1.3321664212308738E-3</v>
      </c>
    </row>
    <row r="115" spans="1:23" x14ac:dyDescent="0.25">
      <c r="A115" s="1">
        <v>46120</v>
      </c>
      <c r="B115">
        <v>427.25</v>
      </c>
      <c r="C115">
        <f t="shared" si="6"/>
        <v>3.1382015691007847E-2</v>
      </c>
      <c r="E115" s="1">
        <v>46120</v>
      </c>
      <c r="F115" s="2">
        <v>5594.5</v>
      </c>
      <c r="G115">
        <f t="shared" si="7"/>
        <v>9.4731143991338869E-3</v>
      </c>
      <c r="I115" s="1">
        <v>46120</v>
      </c>
      <c r="J115" s="2">
        <v>1213.7</v>
      </c>
      <c r="K115">
        <f t="shared" si="8"/>
        <v>-7.4419365390905375E-3</v>
      </c>
      <c r="M115" s="1">
        <v>46120</v>
      </c>
      <c r="N115">
        <v>302.45</v>
      </c>
      <c r="O115">
        <f t="shared" si="9"/>
        <v>1.3402579996649356E-2</v>
      </c>
      <c r="Q115" s="1">
        <v>46120</v>
      </c>
      <c r="R115" s="2">
        <v>2145.6</v>
      </c>
      <c r="S115">
        <f t="shared" si="10"/>
        <v>1.6582962190846207E-2</v>
      </c>
      <c r="U115" s="1">
        <v>46120</v>
      </c>
      <c r="V115" s="2">
        <v>47704.25</v>
      </c>
      <c r="W115">
        <f t="shared" si="11"/>
        <v>1.5413973150333896E-2</v>
      </c>
    </row>
    <row r="116" spans="1:23" x14ac:dyDescent="0.25">
      <c r="A116" s="1">
        <v>46119</v>
      </c>
      <c r="B116">
        <v>414.25</v>
      </c>
      <c r="C116">
        <f t="shared" si="6"/>
        <v>1.3294657964709E-3</v>
      </c>
      <c r="E116" s="1">
        <v>46119</v>
      </c>
      <c r="F116" s="2">
        <v>5542</v>
      </c>
      <c r="G116">
        <f t="shared" si="7"/>
        <v>1.2646793134598012E-3</v>
      </c>
      <c r="I116" s="1">
        <v>46119</v>
      </c>
      <c r="J116" s="2">
        <v>1222.8</v>
      </c>
      <c r="K116">
        <f t="shared" si="8"/>
        <v>5.5921052631578575E-3</v>
      </c>
      <c r="M116" s="1">
        <v>46119</v>
      </c>
      <c r="N116">
        <v>298.45</v>
      </c>
      <c r="O116">
        <f t="shared" si="9"/>
        <v>1.2209598100729068E-2</v>
      </c>
      <c r="Q116" s="1">
        <v>46119</v>
      </c>
      <c r="R116" s="2">
        <v>2110.6</v>
      </c>
      <c r="S116">
        <f t="shared" si="10"/>
        <v>1.2375287797390505E-2</v>
      </c>
      <c r="U116" s="1">
        <v>46119</v>
      </c>
      <c r="V116" s="2">
        <v>46980.1</v>
      </c>
      <c r="W116">
        <f t="shared" si="11"/>
        <v>8.1555706485292537E-3</v>
      </c>
    </row>
    <row r="117" spans="1:23" x14ac:dyDescent="0.25">
      <c r="A117" s="1">
        <v>46118</v>
      </c>
      <c r="B117">
        <v>413.7</v>
      </c>
      <c r="C117">
        <f t="shared" si="6"/>
        <v>-8.5080886758538317E-3</v>
      </c>
      <c r="E117" s="1">
        <v>46118</v>
      </c>
      <c r="F117" s="2">
        <v>5535</v>
      </c>
      <c r="G117">
        <f t="shared" si="7"/>
        <v>1.7089305402425578E-2</v>
      </c>
      <c r="I117" s="1">
        <v>46118</v>
      </c>
      <c r="J117" s="2">
        <v>1216</v>
      </c>
      <c r="K117">
        <f t="shared" si="8"/>
        <v>2.0733652312599719E-2</v>
      </c>
      <c r="M117" s="1">
        <v>46118</v>
      </c>
      <c r="N117">
        <v>294.85000000000002</v>
      </c>
      <c r="O117">
        <f t="shared" si="9"/>
        <v>6.8294348642649813E-3</v>
      </c>
      <c r="Q117" s="1">
        <v>46118</v>
      </c>
      <c r="R117" s="2">
        <v>2084.8000000000002</v>
      </c>
      <c r="S117">
        <f t="shared" si="10"/>
        <v>9.441727594054131E-3</v>
      </c>
      <c r="U117" s="1">
        <v>46118</v>
      </c>
      <c r="V117" s="2">
        <v>46600.05</v>
      </c>
      <c r="W117">
        <f t="shared" si="11"/>
        <v>7.9576658234583823E-3</v>
      </c>
    </row>
    <row r="118" spans="1:23" x14ac:dyDescent="0.25">
      <c r="A118" s="1">
        <v>46114</v>
      </c>
      <c r="B118">
        <v>417.25</v>
      </c>
      <c r="C118">
        <f t="shared" si="6"/>
        <v>5.5428364863236807E-3</v>
      </c>
      <c r="E118" s="1">
        <v>46114</v>
      </c>
      <c r="F118" s="2">
        <v>5442</v>
      </c>
      <c r="G118">
        <f t="shared" si="7"/>
        <v>-5.8458165875045669E-3</v>
      </c>
      <c r="I118" s="1">
        <v>46114</v>
      </c>
      <c r="J118" s="2">
        <v>1191.3</v>
      </c>
      <c r="K118">
        <f t="shared" si="8"/>
        <v>8.8922764227642274E-3</v>
      </c>
      <c r="M118" s="1">
        <v>46114</v>
      </c>
      <c r="N118">
        <v>292.85000000000002</v>
      </c>
      <c r="O118">
        <f t="shared" si="9"/>
        <v>3.9424065821050194E-3</v>
      </c>
      <c r="Q118" s="1">
        <v>46114</v>
      </c>
      <c r="R118" s="2">
        <v>2065.3000000000002</v>
      </c>
      <c r="S118">
        <f t="shared" si="10"/>
        <v>2.9059911851618341E-4</v>
      </c>
      <c r="U118" s="1">
        <v>46114</v>
      </c>
      <c r="V118" s="2">
        <v>46232.15</v>
      </c>
      <c r="W118">
        <f t="shared" si="11"/>
        <v>2.0851418470846351E-3</v>
      </c>
    </row>
    <row r="119" spans="1:23" x14ac:dyDescent="0.25">
      <c r="A119" s="1">
        <v>46113</v>
      </c>
      <c r="B119">
        <v>414.95</v>
      </c>
      <c r="C119">
        <f t="shared" si="6"/>
        <v>1.096357656230966E-2</v>
      </c>
      <c r="E119" s="1">
        <v>46113</v>
      </c>
      <c r="F119" s="2">
        <v>5474</v>
      </c>
      <c r="G119">
        <f t="shared" si="7"/>
        <v>9.4043887147335428E-3</v>
      </c>
      <c r="I119" s="1">
        <v>46113</v>
      </c>
      <c r="J119" s="2">
        <v>1180.8</v>
      </c>
      <c r="K119">
        <f t="shared" si="8"/>
        <v>5.1072522982635342E-3</v>
      </c>
      <c r="M119" s="1">
        <v>46113</v>
      </c>
      <c r="N119">
        <v>291.7</v>
      </c>
      <c r="O119">
        <f t="shared" si="9"/>
        <v>1.3903371567605145E-2</v>
      </c>
      <c r="Q119" s="1">
        <v>46113</v>
      </c>
      <c r="R119" s="2">
        <v>2064.6999999999998</v>
      </c>
      <c r="S119">
        <f t="shared" si="10"/>
        <v>4.6224211755546913E-3</v>
      </c>
      <c r="U119" s="1">
        <v>46113</v>
      </c>
      <c r="V119" s="2">
        <v>46135.95</v>
      </c>
      <c r="W119">
        <f t="shared" si="11"/>
        <v>1.3116330853022556E-2</v>
      </c>
    </row>
    <row r="120" spans="1:23" x14ac:dyDescent="0.25">
      <c r="A120" s="1">
        <v>46111</v>
      </c>
      <c r="B120">
        <v>410.45</v>
      </c>
      <c r="C120">
        <f t="shared" si="6"/>
        <v>-2.1806482364156419E-2</v>
      </c>
      <c r="E120" s="1">
        <v>46111</v>
      </c>
      <c r="F120" s="2">
        <v>5423</v>
      </c>
      <c r="G120">
        <f t="shared" si="7"/>
        <v>-1.4E-2</v>
      </c>
      <c r="I120" s="1">
        <v>46111</v>
      </c>
      <c r="J120" s="2">
        <v>1174.8</v>
      </c>
      <c r="K120">
        <f t="shared" si="8"/>
        <v>-1.5420717398592097E-2</v>
      </c>
      <c r="M120" s="1">
        <v>46111</v>
      </c>
      <c r="N120">
        <v>287.7</v>
      </c>
      <c r="O120">
        <f t="shared" si="9"/>
        <v>-2.3752969121140142E-2</v>
      </c>
      <c r="Q120" s="1">
        <v>46111</v>
      </c>
      <c r="R120" s="2">
        <v>2055.1999999999998</v>
      </c>
      <c r="S120">
        <f t="shared" si="10"/>
        <v>-9.2556883918242724E-3</v>
      </c>
      <c r="U120" s="1">
        <v>46111</v>
      </c>
      <c r="V120" s="2">
        <v>45538.65</v>
      </c>
      <c r="W120">
        <f t="shared" si="11"/>
        <v>-1.9138565323775624E-2</v>
      </c>
    </row>
    <row r="121" spans="1:23" x14ac:dyDescent="0.25">
      <c r="A121" s="1">
        <v>46108</v>
      </c>
      <c r="B121">
        <v>419.6</v>
      </c>
      <c r="C121">
        <f t="shared" si="6"/>
        <v>-2.645011600928069E-2</v>
      </c>
      <c r="E121" s="1">
        <v>46108</v>
      </c>
      <c r="F121" s="2">
        <v>5500</v>
      </c>
      <c r="G121">
        <f t="shared" si="7"/>
        <v>-2.6031521161678766E-2</v>
      </c>
      <c r="I121" s="1">
        <v>46108</v>
      </c>
      <c r="J121" s="2">
        <v>1193.2</v>
      </c>
      <c r="K121">
        <f t="shared" si="8"/>
        <v>-9.0524042853582457E-3</v>
      </c>
      <c r="M121" s="1">
        <v>46108</v>
      </c>
      <c r="N121">
        <v>294.7</v>
      </c>
      <c r="O121">
        <f t="shared" si="9"/>
        <v>-3.3818058843422391E-3</v>
      </c>
      <c r="Q121" s="1">
        <v>46108</v>
      </c>
      <c r="R121" s="2">
        <v>2074.4</v>
      </c>
      <c r="S121">
        <f t="shared" si="10"/>
        <v>-2.829304852913626E-2</v>
      </c>
      <c r="U121" s="1">
        <v>46108</v>
      </c>
      <c r="V121" s="2">
        <v>46427.199999999997</v>
      </c>
      <c r="W121">
        <f t="shared" si="11"/>
        <v>-1.8106796578499652E-2</v>
      </c>
    </row>
    <row r="122" spans="1:23" x14ac:dyDescent="0.25">
      <c r="A122" s="1">
        <v>46106</v>
      </c>
      <c r="B122">
        <v>431</v>
      </c>
      <c r="C122">
        <f t="shared" si="6"/>
        <v>2.2781205505458053E-2</v>
      </c>
      <c r="E122" s="1">
        <v>46106</v>
      </c>
      <c r="F122" s="2">
        <v>5647</v>
      </c>
      <c r="G122">
        <f t="shared" si="7"/>
        <v>2.421329464042804E-2</v>
      </c>
      <c r="I122" s="1">
        <v>46106</v>
      </c>
      <c r="J122" s="2">
        <v>1204.0999999999999</v>
      </c>
      <c r="K122">
        <f t="shared" si="8"/>
        <v>1.7663962136578653E-2</v>
      </c>
      <c r="M122" s="1">
        <v>46106</v>
      </c>
      <c r="N122">
        <v>295.7</v>
      </c>
      <c r="O122">
        <f t="shared" si="9"/>
        <v>1.5278969957081506E-2</v>
      </c>
      <c r="Q122" s="1">
        <v>46106</v>
      </c>
      <c r="R122" s="2">
        <v>2134.8000000000002</v>
      </c>
      <c r="S122">
        <f t="shared" si="10"/>
        <v>2.3884892086331024E-2</v>
      </c>
      <c r="U122" s="1">
        <v>46106</v>
      </c>
      <c r="V122" s="2">
        <v>47283.35</v>
      </c>
      <c r="W122">
        <f t="shared" si="11"/>
        <v>1.885546335461535E-2</v>
      </c>
    </row>
    <row r="123" spans="1:23" x14ac:dyDescent="0.25">
      <c r="A123" s="1">
        <v>46105</v>
      </c>
      <c r="B123">
        <v>421.4</v>
      </c>
      <c r="C123">
        <f t="shared" si="6"/>
        <v>9.7040853001077142E-3</v>
      </c>
      <c r="E123" s="1">
        <v>46105</v>
      </c>
      <c r="F123" s="2">
        <v>5513.5</v>
      </c>
      <c r="G123">
        <f t="shared" si="7"/>
        <v>4.280510018214936E-3</v>
      </c>
      <c r="I123" s="1">
        <v>46105</v>
      </c>
      <c r="J123" s="2">
        <v>1183.2</v>
      </c>
      <c r="K123">
        <f t="shared" si="8"/>
        <v>1.4055536510113209E-2</v>
      </c>
      <c r="M123" s="1">
        <v>46105</v>
      </c>
      <c r="N123">
        <v>291.25</v>
      </c>
      <c r="O123">
        <f t="shared" si="9"/>
        <v>2.7543467033913287E-3</v>
      </c>
      <c r="Q123" s="1">
        <v>46105</v>
      </c>
      <c r="R123" s="2">
        <v>2085</v>
      </c>
      <c r="S123">
        <f t="shared" si="10"/>
        <v>1.598284767566523E-2</v>
      </c>
      <c r="U123" s="1">
        <v>46105</v>
      </c>
      <c r="V123" s="2">
        <v>46408.3</v>
      </c>
      <c r="W123">
        <f t="shared" si="11"/>
        <v>1.2462625757983988E-2</v>
      </c>
    </row>
    <row r="124" spans="1:23" x14ac:dyDescent="0.25">
      <c r="A124" s="1">
        <v>46104</v>
      </c>
      <c r="B124">
        <v>417.35</v>
      </c>
      <c r="C124">
        <f t="shared" si="6"/>
        <v>-3.0996052937079095E-2</v>
      </c>
      <c r="E124" s="1">
        <v>46104</v>
      </c>
      <c r="F124" s="2">
        <v>5490</v>
      </c>
      <c r="G124">
        <f t="shared" si="7"/>
        <v>-2.2870873008810182E-2</v>
      </c>
      <c r="I124" s="1">
        <v>46104</v>
      </c>
      <c r="J124" s="2">
        <v>1166.8</v>
      </c>
      <c r="K124">
        <f t="shared" si="8"/>
        <v>-2.2453083109919534E-2</v>
      </c>
      <c r="M124" s="1">
        <v>46104</v>
      </c>
      <c r="N124">
        <v>290.45</v>
      </c>
      <c r="O124">
        <f t="shared" si="9"/>
        <v>-3.1671945324220706E-2</v>
      </c>
      <c r="Q124" s="1">
        <v>46104</v>
      </c>
      <c r="R124" s="2">
        <v>2052.1999999999998</v>
      </c>
      <c r="S124">
        <f t="shared" si="10"/>
        <v>-1.464445191338167E-2</v>
      </c>
      <c r="U124" s="1">
        <v>46104</v>
      </c>
      <c r="V124" s="2">
        <v>45837.05</v>
      </c>
      <c r="W124">
        <f t="shared" si="11"/>
        <v>-2.490025538450738E-2</v>
      </c>
    </row>
    <row r="125" spans="1:23" x14ac:dyDescent="0.25">
      <c r="A125" s="1">
        <v>46101</v>
      </c>
      <c r="B125">
        <v>430.7</v>
      </c>
      <c r="C125">
        <f t="shared" si="6"/>
        <v>1.1622501162250117E-3</v>
      </c>
      <c r="E125" s="1">
        <v>46101</v>
      </c>
      <c r="F125" s="2">
        <v>5618.5</v>
      </c>
      <c r="G125">
        <f t="shared" si="7"/>
        <v>-9.6941922975235743E-3</v>
      </c>
      <c r="I125" s="1">
        <v>46101</v>
      </c>
      <c r="J125" s="2">
        <v>1193.5999999999999</v>
      </c>
      <c r="K125">
        <f t="shared" si="8"/>
        <v>6.1535867824327357E-3</v>
      </c>
      <c r="M125" s="1">
        <v>46101</v>
      </c>
      <c r="N125">
        <v>299.95</v>
      </c>
      <c r="O125">
        <f t="shared" si="9"/>
        <v>6.5436241610737876E-3</v>
      </c>
      <c r="Q125" s="1">
        <v>46101</v>
      </c>
      <c r="R125" s="2">
        <v>2082.6999999999998</v>
      </c>
      <c r="S125">
        <f t="shared" si="10"/>
        <v>2.5995282337648081E-3</v>
      </c>
      <c r="U125" s="1">
        <v>46101</v>
      </c>
      <c r="V125" s="2">
        <v>47007.55</v>
      </c>
      <c r="W125">
        <f t="shared" si="11"/>
        <v>3.1069983216662094E-3</v>
      </c>
    </row>
    <row r="126" spans="1:23" x14ac:dyDescent="0.25">
      <c r="A126" s="1">
        <v>46100</v>
      </c>
      <c r="B126">
        <v>430.2</v>
      </c>
      <c r="C126">
        <f t="shared" si="6"/>
        <v>-4.7914130795618085E-2</v>
      </c>
      <c r="E126" s="1">
        <v>46100</v>
      </c>
      <c r="F126" s="2">
        <v>5673.5</v>
      </c>
      <c r="G126">
        <f t="shared" si="7"/>
        <v>-3.5938827527612571E-2</v>
      </c>
      <c r="I126" s="1">
        <v>46100</v>
      </c>
      <c r="J126" s="2">
        <v>1186.3</v>
      </c>
      <c r="K126">
        <f t="shared" si="8"/>
        <v>-1.5355245683930943E-2</v>
      </c>
      <c r="M126" s="1">
        <v>46100</v>
      </c>
      <c r="N126">
        <v>298</v>
      </c>
      <c r="O126">
        <f t="shared" si="9"/>
        <v>-1.9898043085018947E-2</v>
      </c>
      <c r="Q126" s="1">
        <v>46100</v>
      </c>
      <c r="R126" s="2">
        <v>2077.3000000000002</v>
      </c>
      <c r="S126">
        <f t="shared" si="10"/>
        <v>-2.7162459607549289E-2</v>
      </c>
      <c r="U126" s="1">
        <v>46100</v>
      </c>
      <c r="V126" s="2">
        <v>46861.95</v>
      </c>
      <c r="W126">
        <f t="shared" si="11"/>
        <v>-2.5313546454793213E-2</v>
      </c>
    </row>
    <row r="127" spans="1:23" x14ac:dyDescent="0.25">
      <c r="A127" s="1">
        <v>46099</v>
      </c>
      <c r="B127">
        <v>451.85</v>
      </c>
      <c r="C127">
        <f t="shared" si="6"/>
        <v>-1.6570923552806009E-3</v>
      </c>
      <c r="E127" s="1">
        <v>46099</v>
      </c>
      <c r="F127" s="2">
        <v>5885</v>
      </c>
      <c r="G127">
        <f t="shared" si="7"/>
        <v>4.6948356807511738E-3</v>
      </c>
      <c r="I127" s="1">
        <v>46099</v>
      </c>
      <c r="J127" s="2">
        <v>1204.8</v>
      </c>
      <c r="K127">
        <f t="shared" si="8"/>
        <v>-1.7399950285857456E-3</v>
      </c>
      <c r="M127" s="1">
        <v>46099</v>
      </c>
      <c r="N127">
        <v>304.05</v>
      </c>
      <c r="O127">
        <f t="shared" si="9"/>
        <v>-2.6242414302116166E-3</v>
      </c>
      <c r="Q127" s="1">
        <v>46099</v>
      </c>
      <c r="R127" s="2">
        <v>2135.3000000000002</v>
      </c>
      <c r="S127">
        <f t="shared" si="10"/>
        <v>-1.0610694096932461E-2</v>
      </c>
      <c r="U127" s="1">
        <v>46099</v>
      </c>
      <c r="V127" s="2">
        <v>48079</v>
      </c>
      <c r="W127">
        <f t="shared" si="11"/>
        <v>-5.2905708307645326E-4</v>
      </c>
    </row>
    <row r="128" spans="1:23" x14ac:dyDescent="0.25">
      <c r="A128" s="1">
        <v>46098</v>
      </c>
      <c r="B128">
        <v>452.6</v>
      </c>
      <c r="C128">
        <f t="shared" si="6"/>
        <v>-1.3621009044350004E-2</v>
      </c>
      <c r="E128" s="1">
        <v>46098</v>
      </c>
      <c r="F128" s="2">
        <v>5857.5</v>
      </c>
      <c r="G128">
        <f t="shared" si="7"/>
        <v>2.6532009585758303E-3</v>
      </c>
      <c r="I128" s="1">
        <v>46098</v>
      </c>
      <c r="J128" s="2">
        <v>1206.9000000000001</v>
      </c>
      <c r="K128">
        <f t="shared" si="8"/>
        <v>-5.3568485248063286E-3</v>
      </c>
      <c r="M128" s="1">
        <v>46098</v>
      </c>
      <c r="N128">
        <v>304.85000000000002</v>
      </c>
      <c r="O128">
        <f t="shared" si="9"/>
        <v>-1.1030008110300008E-2</v>
      </c>
      <c r="Q128" s="1">
        <v>46098</v>
      </c>
      <c r="R128" s="2">
        <v>2158.1999999999998</v>
      </c>
      <c r="S128">
        <f t="shared" si="10"/>
        <v>-8.0433883347888046E-3</v>
      </c>
      <c r="U128" s="1">
        <v>46098</v>
      </c>
      <c r="V128" s="2">
        <v>48104.45</v>
      </c>
      <c r="W128">
        <f t="shared" si="11"/>
        <v>-7.5182307812131184E-3</v>
      </c>
    </row>
    <row r="129" spans="1:23" x14ac:dyDescent="0.25">
      <c r="A129" s="1">
        <v>46097</v>
      </c>
      <c r="B129">
        <v>458.85</v>
      </c>
      <c r="C129">
        <f t="shared" si="6"/>
        <v>1.1797133406835773E-2</v>
      </c>
      <c r="E129" s="1">
        <v>46097</v>
      </c>
      <c r="F129" s="2">
        <v>5842</v>
      </c>
      <c r="G129">
        <f t="shared" si="7"/>
        <v>5.7674098304209345E-3</v>
      </c>
      <c r="I129" s="1">
        <v>46097</v>
      </c>
      <c r="J129" s="2">
        <v>1213.4000000000001</v>
      </c>
      <c r="K129">
        <f t="shared" si="8"/>
        <v>9.3162535351855313E-3</v>
      </c>
      <c r="M129" s="1">
        <v>46097</v>
      </c>
      <c r="N129">
        <v>308.25</v>
      </c>
      <c r="O129">
        <f t="shared" si="9"/>
        <v>2.2557638082600803E-2</v>
      </c>
      <c r="Q129" s="1">
        <v>46097</v>
      </c>
      <c r="R129" s="2">
        <v>2175.6999999999998</v>
      </c>
      <c r="S129">
        <f t="shared" si="10"/>
        <v>7.2685185185184346E-3</v>
      </c>
      <c r="U129" s="1">
        <v>46097</v>
      </c>
      <c r="V129" s="2">
        <v>48468.85</v>
      </c>
      <c r="W129">
        <f t="shared" si="11"/>
        <v>1.1365877120407916E-2</v>
      </c>
    </row>
    <row r="130" spans="1:23" x14ac:dyDescent="0.25">
      <c r="A130" s="1">
        <v>46094</v>
      </c>
      <c r="B130">
        <v>453.5</v>
      </c>
      <c r="C130">
        <f t="shared" si="6"/>
        <v>-1.2735386959834599E-2</v>
      </c>
      <c r="E130" s="1">
        <v>46094</v>
      </c>
      <c r="F130" s="2">
        <v>5808.5</v>
      </c>
      <c r="G130">
        <f t="shared" si="7"/>
        <v>3.7152237774321756E-3</v>
      </c>
      <c r="I130" s="1">
        <v>46094</v>
      </c>
      <c r="J130" s="2">
        <v>1202.2</v>
      </c>
      <c r="K130">
        <f t="shared" si="8"/>
        <v>-1.5235910878112638E-2</v>
      </c>
      <c r="M130" s="1">
        <v>46094</v>
      </c>
      <c r="N130">
        <v>301.45</v>
      </c>
      <c r="O130">
        <f t="shared" si="9"/>
        <v>-8.7142387372575927E-3</v>
      </c>
      <c r="Q130" s="1">
        <v>46094</v>
      </c>
      <c r="R130" s="2">
        <v>2160</v>
      </c>
      <c r="S130">
        <f t="shared" si="10"/>
        <v>1.0810051944405404E-2</v>
      </c>
      <c r="U130" s="1">
        <v>46094</v>
      </c>
      <c r="V130" s="2">
        <v>47924.15</v>
      </c>
      <c r="W130">
        <f t="shared" si="11"/>
        <v>-5.4991631933744419E-3</v>
      </c>
    </row>
    <row r="131" spans="1:23" x14ac:dyDescent="0.25">
      <c r="A131" s="1">
        <v>46093</v>
      </c>
      <c r="B131">
        <v>459.35</v>
      </c>
      <c r="C131">
        <f t="shared" si="6"/>
        <v>-2.6491469746741547E-2</v>
      </c>
      <c r="E131" s="1">
        <v>46093</v>
      </c>
      <c r="F131" s="2">
        <v>5787</v>
      </c>
      <c r="G131">
        <f t="shared" si="7"/>
        <v>-2.2713839398800978E-2</v>
      </c>
      <c r="I131" s="1">
        <v>46093</v>
      </c>
      <c r="J131" s="2">
        <v>1220.8</v>
      </c>
      <c r="K131">
        <f t="shared" si="8"/>
        <v>-1.0456350814622753E-2</v>
      </c>
      <c r="M131" s="1">
        <v>46093</v>
      </c>
      <c r="N131">
        <v>304.10000000000002</v>
      </c>
      <c r="O131">
        <f t="shared" si="9"/>
        <v>-1.5857605177993454E-2</v>
      </c>
      <c r="Q131" s="1">
        <v>46093</v>
      </c>
      <c r="R131" s="2">
        <v>2136.9</v>
      </c>
      <c r="S131">
        <f t="shared" si="10"/>
        <v>-1.133524567410012E-2</v>
      </c>
      <c r="U131" s="1">
        <v>46093</v>
      </c>
      <c r="V131" s="2">
        <v>48189.15</v>
      </c>
      <c r="W131">
        <f t="shared" si="11"/>
        <v>-1.7744706959072227E-2</v>
      </c>
    </row>
    <row r="132" spans="1:23" x14ac:dyDescent="0.25">
      <c r="A132" s="1">
        <v>46092</v>
      </c>
      <c r="B132">
        <v>471.85</v>
      </c>
      <c r="C132">
        <f t="shared" si="6"/>
        <v>-1.8818881264296018E-2</v>
      </c>
      <c r="E132" s="1">
        <v>46092</v>
      </c>
      <c r="F132" s="2">
        <v>5921.5</v>
      </c>
      <c r="G132">
        <f t="shared" si="7"/>
        <v>-7.7915549597855228E-3</v>
      </c>
      <c r="I132" s="1">
        <v>46092</v>
      </c>
      <c r="J132" s="2">
        <v>1233.7</v>
      </c>
      <c r="K132">
        <f t="shared" si="8"/>
        <v>-6.0425394779245892E-3</v>
      </c>
      <c r="M132" s="1">
        <v>46092</v>
      </c>
      <c r="N132">
        <v>309</v>
      </c>
      <c r="O132">
        <f t="shared" si="9"/>
        <v>-1.6178611875104795E-4</v>
      </c>
      <c r="Q132" s="1">
        <v>46092</v>
      </c>
      <c r="R132" s="2">
        <v>2161.4</v>
      </c>
      <c r="S132">
        <f t="shared" si="10"/>
        <v>-1.3149484065382033E-2</v>
      </c>
      <c r="U132" s="1">
        <v>46092</v>
      </c>
      <c r="V132" s="2">
        <v>49059.7</v>
      </c>
      <c r="W132">
        <f t="shared" si="11"/>
        <v>-1.0963933024954985E-2</v>
      </c>
    </row>
    <row r="133" spans="1:23" x14ac:dyDescent="0.25">
      <c r="A133" s="1">
        <v>46091</v>
      </c>
      <c r="B133">
        <v>480.9</v>
      </c>
      <c r="C133">
        <f t="shared" ref="C133:C138" si="12">(B133-B134)/B134</f>
        <v>3.0426398114420376E-2</v>
      </c>
      <c r="E133" s="1">
        <v>46091</v>
      </c>
      <c r="F133" s="2">
        <v>5968</v>
      </c>
      <c r="G133">
        <f t="shared" ref="G133:G138" si="13">(F133-F134)/F134</f>
        <v>1.3242784380305603E-2</v>
      </c>
      <c r="I133" s="1">
        <v>46091</v>
      </c>
      <c r="J133" s="2">
        <v>1241.2</v>
      </c>
      <c r="K133">
        <f t="shared" ref="K133:K138" si="14">(J133-J134)/J134</f>
        <v>4.3696391001780957E-3</v>
      </c>
      <c r="M133" s="1">
        <v>46091</v>
      </c>
      <c r="N133">
        <v>309.05</v>
      </c>
      <c r="O133">
        <f t="shared" ref="O133:O138" si="15">(N133-N134)/N134</f>
        <v>9.9673202614379459E-3</v>
      </c>
      <c r="Q133" s="1">
        <v>46091</v>
      </c>
      <c r="R133" s="2">
        <v>2190.1999999999998</v>
      </c>
      <c r="S133">
        <f t="shared" ref="S133:S138" si="16">(R133-R134)/R134</f>
        <v>-2.0049211701449426E-3</v>
      </c>
      <c r="U133" s="1">
        <v>46091</v>
      </c>
      <c r="V133" s="2">
        <v>49603.55</v>
      </c>
      <c r="W133">
        <f t="shared" ref="W133:W138" si="17">(V133-V134)/V134</f>
        <v>8.3579983899952325E-3</v>
      </c>
    </row>
    <row r="134" spans="1:23" x14ac:dyDescent="0.25">
      <c r="A134" s="1">
        <v>46090</v>
      </c>
      <c r="B134">
        <v>466.7</v>
      </c>
      <c r="C134">
        <f t="shared" si="12"/>
        <v>-2.4864187212703788E-2</v>
      </c>
      <c r="E134" s="1">
        <v>46090</v>
      </c>
      <c r="F134" s="2">
        <v>5890</v>
      </c>
      <c r="G134">
        <f t="shared" si="13"/>
        <v>-1.5544041450777202E-2</v>
      </c>
      <c r="I134" s="1">
        <v>46090</v>
      </c>
      <c r="J134" s="2">
        <v>1235.8</v>
      </c>
      <c r="K134">
        <f t="shared" si="14"/>
        <v>-1.3254551261577879E-2</v>
      </c>
      <c r="M134" s="1">
        <v>46090</v>
      </c>
      <c r="N134">
        <v>306</v>
      </c>
      <c r="O134">
        <f t="shared" si="15"/>
        <v>-1.1947045527930219E-2</v>
      </c>
      <c r="Q134" s="1">
        <v>46090</v>
      </c>
      <c r="R134" s="2">
        <v>2194.6</v>
      </c>
      <c r="S134">
        <f t="shared" si="16"/>
        <v>-1.3973132048344302E-2</v>
      </c>
      <c r="U134" s="1">
        <v>46090</v>
      </c>
      <c r="V134" s="2">
        <v>49192.4</v>
      </c>
      <c r="W134">
        <f t="shared" si="17"/>
        <v>-1.5573157016325542E-2</v>
      </c>
    </row>
    <row r="135" spans="1:23" x14ac:dyDescent="0.25">
      <c r="A135" s="1">
        <v>46087</v>
      </c>
      <c r="B135">
        <v>478.6</v>
      </c>
      <c r="C135">
        <f t="shared" si="12"/>
        <v>-1.9061283049805196E-2</v>
      </c>
      <c r="E135" s="1">
        <v>46087</v>
      </c>
      <c r="F135" s="2">
        <v>5983</v>
      </c>
      <c r="G135">
        <f t="shared" si="13"/>
        <v>3.3540164346805299E-3</v>
      </c>
      <c r="I135" s="1">
        <v>46087</v>
      </c>
      <c r="J135" s="2">
        <v>1252.4000000000001</v>
      </c>
      <c r="K135">
        <f t="shared" si="14"/>
        <v>1.1991366216324245E-3</v>
      </c>
      <c r="M135" s="1">
        <v>46087</v>
      </c>
      <c r="N135">
        <v>309.7</v>
      </c>
      <c r="O135">
        <f t="shared" si="15"/>
        <v>-5.7784911717496355E-3</v>
      </c>
      <c r="Q135" s="1">
        <v>46087</v>
      </c>
      <c r="R135" s="2">
        <v>2225.6999999999998</v>
      </c>
      <c r="S135">
        <f t="shared" si="16"/>
        <v>-1.2993348115299416E-2</v>
      </c>
      <c r="U135" s="1">
        <v>46087</v>
      </c>
      <c r="V135" s="2">
        <v>49970.6</v>
      </c>
      <c r="W135">
        <f t="shared" si="17"/>
        <v>-6.0399033615470877E-4</v>
      </c>
    </row>
    <row r="136" spans="1:23" x14ac:dyDescent="0.25">
      <c r="A136" s="1">
        <v>46086</v>
      </c>
      <c r="B136">
        <v>487.9</v>
      </c>
      <c r="C136">
        <f t="shared" si="12"/>
        <v>1.0258514567090685E-3</v>
      </c>
      <c r="E136" s="1">
        <v>46086</v>
      </c>
      <c r="F136" s="2">
        <v>5963</v>
      </c>
      <c r="G136">
        <f t="shared" si="13"/>
        <v>1.2479836998047373E-2</v>
      </c>
      <c r="I136" s="1">
        <v>46086</v>
      </c>
      <c r="J136" s="2">
        <v>1250.9000000000001</v>
      </c>
      <c r="K136">
        <f t="shared" si="14"/>
        <v>4.4969083754919587E-3</v>
      </c>
      <c r="M136" s="1">
        <v>46086</v>
      </c>
      <c r="N136">
        <v>311.5</v>
      </c>
      <c r="O136">
        <f t="shared" si="15"/>
        <v>-1.4425388684083623E-3</v>
      </c>
      <c r="Q136" s="1">
        <v>46086</v>
      </c>
      <c r="R136" s="2">
        <v>2255</v>
      </c>
      <c r="S136">
        <f t="shared" si="16"/>
        <v>-2.7860080484677758E-3</v>
      </c>
      <c r="U136" s="1">
        <v>46086</v>
      </c>
      <c r="V136" s="2">
        <v>50000.800000000003</v>
      </c>
      <c r="W136">
        <f t="shared" si="17"/>
        <v>4.0825342637683202E-3</v>
      </c>
    </row>
    <row r="137" spans="1:23" x14ac:dyDescent="0.25">
      <c r="A137" s="1">
        <v>46085</v>
      </c>
      <c r="B137">
        <v>487.4</v>
      </c>
      <c r="C137">
        <f t="shared" si="12"/>
        <v>-3.9795114263199455E-2</v>
      </c>
      <c r="E137" s="1">
        <v>46085</v>
      </c>
      <c r="F137" s="2">
        <v>5889.5</v>
      </c>
      <c r="G137">
        <f t="shared" si="13"/>
        <v>-1.1663030709850647E-2</v>
      </c>
      <c r="I137" s="1">
        <v>46085</v>
      </c>
      <c r="J137" s="2">
        <v>1245.3</v>
      </c>
      <c r="K137">
        <f t="shared" si="14"/>
        <v>-2.6881300304759E-2</v>
      </c>
      <c r="M137" s="1">
        <v>46085</v>
      </c>
      <c r="N137">
        <v>311.95</v>
      </c>
      <c r="O137">
        <f t="shared" si="15"/>
        <v>-9.3680533502698924E-3</v>
      </c>
      <c r="Q137" s="1">
        <v>46085</v>
      </c>
      <c r="R137" s="2">
        <v>2261.3000000000002</v>
      </c>
      <c r="S137">
        <f t="shared" si="16"/>
        <v>-2.5553736102731935E-2</v>
      </c>
      <c r="U137" s="1">
        <v>46085</v>
      </c>
      <c r="V137" s="2">
        <v>49797.5</v>
      </c>
      <c r="W137">
        <f t="shared" si="17"/>
        <v>-1.8800373977988921E-2</v>
      </c>
    </row>
    <row r="138" spans="1:23" x14ac:dyDescent="0.25">
      <c r="A138" s="1">
        <v>46083</v>
      </c>
      <c r="B138">
        <v>507.6</v>
      </c>
      <c r="C138" t="e">
        <f t="shared" si="12"/>
        <v>#DIV/0!</v>
      </c>
      <c r="E138" s="1">
        <v>46083</v>
      </c>
      <c r="F138" s="2">
        <v>5959</v>
      </c>
      <c r="G138" t="e">
        <f t="shared" si="13"/>
        <v>#DIV/0!</v>
      </c>
      <c r="I138" s="1">
        <v>46083</v>
      </c>
      <c r="J138" s="2">
        <v>1279.7</v>
      </c>
      <c r="K138" t="e">
        <f t="shared" si="14"/>
        <v>#DIV/0!</v>
      </c>
      <c r="M138" s="1">
        <v>46083</v>
      </c>
      <c r="N138">
        <v>314.89999999999998</v>
      </c>
      <c r="O138" t="e">
        <f t="shared" si="15"/>
        <v>#DIV/0!</v>
      </c>
      <c r="Q138" s="1">
        <v>46083</v>
      </c>
      <c r="R138" s="2">
        <v>2320.6</v>
      </c>
      <c r="S138" t="e">
        <f t="shared" si="16"/>
        <v>#DIV/0!</v>
      </c>
      <c r="U138" s="1">
        <v>46083</v>
      </c>
      <c r="V138" s="2">
        <v>50751.65</v>
      </c>
      <c r="W138" t="e">
        <f t="shared" si="17"/>
        <v>#DIV/0!</v>
      </c>
    </row>
    <row r="140" spans="1:23" x14ac:dyDescent="0.25">
      <c r="A140" t="s">
        <v>11</v>
      </c>
      <c r="C140">
        <f>_xlfn.STDEV.S(C4:C137)</f>
        <v>1.6299673302853406E-2</v>
      </c>
      <c r="G140">
        <f>_xlfn.STDEV.S(G4:G137)</f>
        <v>1.3006317987940087E-2</v>
      </c>
      <c r="K140">
        <f>_xlfn.STDEV.S(K4:K137)</f>
        <v>1.4223192742057255E-2</v>
      </c>
      <c r="O140">
        <f>_xlfn.STDEV.S(O4:O137)</f>
        <v>1.2388935841669044E-2</v>
      </c>
      <c r="S140">
        <f>_xlfn.STDEV.S(S4:S137)</f>
        <v>1.5212375622653616E-2</v>
      </c>
      <c r="W140">
        <f>_xlfn.STDEV.S(W4:W137)</f>
        <v>9.9056557523184863E-3</v>
      </c>
    </row>
    <row r="141" spans="1:23" x14ac:dyDescent="0.25">
      <c r="A141" t="s">
        <v>12</v>
      </c>
      <c r="C141">
        <f>AVERAGE(C4:C137)</f>
        <v>-1.9375742293561873E-3</v>
      </c>
      <c r="G141">
        <f>AVERAGE(G4:G137)</f>
        <v>-1.2510115297423377E-3</v>
      </c>
      <c r="K141">
        <f>AVERAGE(K4:K137)</f>
        <v>6.1185405381488202E-4</v>
      </c>
      <c r="O141">
        <f>AVERAGE(O4:O137)</f>
        <v>-1.1767722098411295E-3</v>
      </c>
      <c r="S141">
        <f>AVERAGE(S4:S137)</f>
        <v>-1.2122813398252395E-3</v>
      </c>
      <c r="W141">
        <f>AVERAGE(W4:W137)</f>
        <v>-7.5419489293624721E-4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K18" sqref="K18"/>
    </sheetView>
  </sheetViews>
  <sheetFormatPr defaultRowHeight="15" x14ac:dyDescent="0.25"/>
  <cols>
    <col min="1" max="1" width="28" customWidth="1"/>
    <col min="2" max="2" width="20" customWidth="1"/>
    <col min="3" max="10" width="12" customWidth="1"/>
    <col min="11" max="11" width="17" customWidth="1"/>
    <col min="12" max="12" width="21" customWidth="1"/>
  </cols>
  <sheetData>
    <row r="1" spans="1:12" ht="25.5" x14ac:dyDescent="0.5">
      <c r="A1" s="14" t="s">
        <v>53</v>
      </c>
    </row>
    <row r="2" spans="1:12" ht="16.5" x14ac:dyDescent="0.3">
      <c r="A2" s="15" t="s">
        <v>54</v>
      </c>
    </row>
    <row r="4" spans="1:12" ht="17.25" thickBot="1" x14ac:dyDescent="0.3">
      <c r="A4" s="4" t="s">
        <v>13</v>
      </c>
      <c r="B4" s="4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</row>
    <row r="5" spans="1:12" x14ac:dyDescent="0.25">
      <c r="A5" s="6" t="s">
        <v>25</v>
      </c>
      <c r="B5" s="6" t="s">
        <v>26</v>
      </c>
      <c r="C5" s="7">
        <v>15319</v>
      </c>
      <c r="D5" s="7">
        <v>15188</v>
      </c>
      <c r="E5" s="7">
        <v>14693</v>
      </c>
      <c r="F5" s="7">
        <v>15339</v>
      </c>
      <c r="G5" s="7">
        <v>15703</v>
      </c>
      <c r="H5" s="7">
        <v>15563</v>
      </c>
      <c r="I5" s="7">
        <v>15059</v>
      </c>
      <c r="J5" s="7">
        <v>17341</v>
      </c>
      <c r="K5" s="8">
        <f t="shared" ref="K5:K14" si="0">SUM(C5:J5)</f>
        <v>124205</v>
      </c>
      <c r="L5" s="8">
        <f t="shared" ref="L5:L14" si="1">AVERAGE(C5:J5)</f>
        <v>15525.625</v>
      </c>
    </row>
    <row r="6" spans="1:12" x14ac:dyDescent="0.25">
      <c r="A6" s="9" t="s">
        <v>25</v>
      </c>
      <c r="B6" s="9" t="s">
        <v>27</v>
      </c>
      <c r="C6" s="7">
        <v>2595</v>
      </c>
      <c r="D6" s="7">
        <v>2519</v>
      </c>
      <c r="E6" s="7">
        <v>2474</v>
      </c>
      <c r="F6" s="7">
        <v>2538</v>
      </c>
      <c r="G6" s="7">
        <v>2612</v>
      </c>
      <c r="H6" s="7">
        <v>2508</v>
      </c>
      <c r="I6" s="7">
        <v>2994</v>
      </c>
      <c r="J6" s="7">
        <v>2673</v>
      </c>
      <c r="K6" s="8">
        <f t="shared" si="0"/>
        <v>20913</v>
      </c>
      <c r="L6" s="8">
        <f t="shared" si="1"/>
        <v>2614.125</v>
      </c>
    </row>
    <row r="7" spans="1:12" x14ac:dyDescent="0.25">
      <c r="A7" s="10" t="s">
        <v>28</v>
      </c>
      <c r="B7" s="10" t="s">
        <v>26</v>
      </c>
      <c r="C7" s="11">
        <v>17774</v>
      </c>
      <c r="D7" s="11">
        <v>17652</v>
      </c>
      <c r="E7" s="11">
        <v>17927</v>
      </c>
      <c r="F7" s="11">
        <v>18083</v>
      </c>
      <c r="G7" s="11">
        <v>19328</v>
      </c>
      <c r="H7" s="11">
        <v>19850</v>
      </c>
      <c r="I7" s="11">
        <v>23821</v>
      </c>
      <c r="J7" s="11">
        <v>24800</v>
      </c>
      <c r="K7" s="12">
        <f t="shared" si="0"/>
        <v>159235</v>
      </c>
      <c r="L7" s="12">
        <f t="shared" si="1"/>
        <v>19904.375</v>
      </c>
    </row>
    <row r="8" spans="1:12" x14ac:dyDescent="0.25">
      <c r="A8" s="13" t="s">
        <v>28</v>
      </c>
      <c r="B8" s="13" t="s">
        <v>27</v>
      </c>
      <c r="C8" s="11">
        <v>4927</v>
      </c>
      <c r="D8" s="11">
        <v>5400</v>
      </c>
      <c r="E8" s="11">
        <v>5020</v>
      </c>
      <c r="F8" s="11">
        <v>4917</v>
      </c>
      <c r="G8" s="11">
        <v>5078</v>
      </c>
      <c r="H8" s="11">
        <v>5162</v>
      </c>
      <c r="I8" s="11">
        <v>4920</v>
      </c>
      <c r="J8" s="11">
        <v>3910</v>
      </c>
      <c r="K8" s="12">
        <f t="shared" si="0"/>
        <v>39334</v>
      </c>
      <c r="L8" s="12">
        <f t="shared" si="1"/>
        <v>4916.75</v>
      </c>
    </row>
    <row r="9" spans="1:12" x14ac:dyDescent="0.25">
      <c r="A9" s="6" t="s">
        <v>29</v>
      </c>
      <c r="B9" s="6" t="s">
        <v>26</v>
      </c>
      <c r="C9" s="7">
        <v>5104</v>
      </c>
      <c r="D9" s="7">
        <v>4779</v>
      </c>
      <c r="E9" s="7">
        <v>5294</v>
      </c>
      <c r="F9" s="7">
        <v>5104</v>
      </c>
      <c r="G9" s="7">
        <v>5082</v>
      </c>
      <c r="H9" s="7">
        <v>5420</v>
      </c>
      <c r="I9" s="7">
        <v>5520</v>
      </c>
      <c r="J9" s="7">
        <v>6401</v>
      </c>
      <c r="K9" s="8">
        <f t="shared" si="0"/>
        <v>42704</v>
      </c>
      <c r="L9" s="8">
        <f t="shared" si="1"/>
        <v>5338</v>
      </c>
    </row>
    <row r="10" spans="1:12" x14ac:dyDescent="0.25">
      <c r="A10" s="9" t="s">
        <v>29</v>
      </c>
      <c r="B10" s="9" t="s">
        <v>27</v>
      </c>
      <c r="C10" s="7">
        <v>899</v>
      </c>
      <c r="D10" s="7">
        <v>656</v>
      </c>
      <c r="E10" s="7">
        <v>934</v>
      </c>
      <c r="F10" s="7">
        <v>659</v>
      </c>
      <c r="G10" s="7">
        <v>899</v>
      </c>
      <c r="H10" s="7">
        <v>743</v>
      </c>
      <c r="I10" s="7">
        <v>1114</v>
      </c>
      <c r="J10" s="7">
        <v>975</v>
      </c>
      <c r="K10" s="8">
        <f t="shared" si="0"/>
        <v>6879</v>
      </c>
      <c r="L10" s="8">
        <f t="shared" si="1"/>
        <v>859.875</v>
      </c>
    </row>
    <row r="11" spans="1:12" x14ac:dyDescent="0.25">
      <c r="A11" s="10" t="s">
        <v>30</v>
      </c>
      <c r="B11" s="10" t="s">
        <v>26</v>
      </c>
      <c r="C11" s="11">
        <v>3204</v>
      </c>
      <c r="D11" s="11">
        <v>3255</v>
      </c>
      <c r="E11" s="11">
        <v>2830</v>
      </c>
      <c r="F11" s="11">
        <v>3349</v>
      </c>
      <c r="G11" s="11">
        <v>3260</v>
      </c>
      <c r="H11" s="11">
        <v>3355</v>
      </c>
      <c r="I11" s="11">
        <v>3038</v>
      </c>
      <c r="J11" s="11">
        <v>3350</v>
      </c>
      <c r="K11" s="12">
        <f t="shared" si="0"/>
        <v>25641</v>
      </c>
      <c r="L11" s="12">
        <f t="shared" si="1"/>
        <v>3205.125</v>
      </c>
    </row>
    <row r="12" spans="1:12" x14ac:dyDescent="0.25">
      <c r="A12" s="13" t="s">
        <v>30</v>
      </c>
      <c r="B12" s="13" t="s">
        <v>27</v>
      </c>
      <c r="C12" s="11">
        <v>515</v>
      </c>
      <c r="D12" s="11">
        <v>514</v>
      </c>
      <c r="E12" s="11">
        <v>350</v>
      </c>
      <c r="F12" s="11">
        <v>500</v>
      </c>
      <c r="G12" s="11">
        <v>425</v>
      </c>
      <c r="H12" s="11">
        <v>566</v>
      </c>
      <c r="I12" s="11">
        <v>362</v>
      </c>
      <c r="J12" s="11">
        <v>591</v>
      </c>
      <c r="K12" s="12">
        <f t="shared" si="0"/>
        <v>3823</v>
      </c>
      <c r="L12" s="12">
        <f t="shared" si="1"/>
        <v>477.875</v>
      </c>
    </row>
    <row r="13" spans="1:12" x14ac:dyDescent="0.25">
      <c r="A13" s="6" t="s">
        <v>31</v>
      </c>
      <c r="B13" s="6" t="s">
        <v>26</v>
      </c>
      <c r="C13" s="7">
        <v>4433</v>
      </c>
      <c r="D13" s="7">
        <v>4256</v>
      </c>
      <c r="E13" s="7">
        <v>4069</v>
      </c>
      <c r="F13" s="7">
        <v>4250</v>
      </c>
      <c r="G13" s="7">
        <v>4660</v>
      </c>
      <c r="H13" s="7">
        <v>4506</v>
      </c>
      <c r="I13" s="7">
        <v>4553</v>
      </c>
      <c r="J13" s="7">
        <v>4834</v>
      </c>
      <c r="K13" s="8">
        <f t="shared" si="0"/>
        <v>35561</v>
      </c>
      <c r="L13" s="8">
        <f t="shared" si="1"/>
        <v>4445.125</v>
      </c>
    </row>
    <row r="14" spans="1:12" x14ac:dyDescent="0.25">
      <c r="A14" s="9" t="s">
        <v>31</v>
      </c>
      <c r="B14" s="9" t="s">
        <v>27</v>
      </c>
      <c r="C14" s="7">
        <v>587</v>
      </c>
      <c r="D14" s="7">
        <v>556</v>
      </c>
      <c r="E14" s="7">
        <v>538</v>
      </c>
      <c r="F14" s="7">
        <v>506</v>
      </c>
      <c r="G14" s="7">
        <v>531</v>
      </c>
      <c r="H14" s="7">
        <v>608</v>
      </c>
      <c r="I14" s="7">
        <v>680</v>
      </c>
      <c r="J14" s="7">
        <v>735</v>
      </c>
      <c r="K14" s="8">
        <f t="shared" si="0"/>
        <v>4741</v>
      </c>
      <c r="L14" s="8">
        <f t="shared" si="1"/>
        <v>592.625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2" sqref="A2"/>
    </sheetView>
  </sheetViews>
  <sheetFormatPr defaultRowHeight="15" x14ac:dyDescent="0.25"/>
  <cols>
    <col min="1" max="1" width="28" customWidth="1"/>
    <col min="2" max="2" width="24" customWidth="1"/>
    <col min="3" max="3" width="33" customWidth="1"/>
    <col min="4" max="4" width="38" customWidth="1"/>
    <col min="5" max="5" width="65.28515625" customWidth="1"/>
  </cols>
  <sheetData>
    <row r="1" spans="1:5" ht="25.5" x14ac:dyDescent="0.5">
      <c r="A1" s="14" t="s">
        <v>32</v>
      </c>
    </row>
    <row r="2" spans="1:5" ht="16.5" x14ac:dyDescent="0.3">
      <c r="A2" s="15" t="s">
        <v>33</v>
      </c>
    </row>
    <row r="4" spans="1:5" ht="17.25" thickBot="1" x14ac:dyDescent="0.3">
      <c r="A4" s="16" t="s">
        <v>13</v>
      </c>
      <c r="B4" s="17" t="s">
        <v>34</v>
      </c>
      <c r="C4" s="17" t="s">
        <v>35</v>
      </c>
      <c r="D4" s="17" t="s">
        <v>36</v>
      </c>
      <c r="E4" s="16" t="s">
        <v>37</v>
      </c>
    </row>
    <row r="5" spans="1:5" x14ac:dyDescent="0.25">
      <c r="A5" s="10" t="s">
        <v>25</v>
      </c>
      <c r="B5" s="18">
        <v>0.02</v>
      </c>
      <c r="C5" s="19" t="s">
        <v>38</v>
      </c>
      <c r="D5" s="19" t="s">
        <v>39</v>
      </c>
      <c r="E5" s="13" t="s">
        <v>40</v>
      </c>
    </row>
    <row r="6" spans="1:5" x14ac:dyDescent="0.25">
      <c r="A6" s="6" t="s">
        <v>28</v>
      </c>
      <c r="B6" s="20">
        <v>0</v>
      </c>
      <c r="C6" s="21" t="s">
        <v>41</v>
      </c>
      <c r="D6" s="21" t="s">
        <v>42</v>
      </c>
      <c r="E6" s="9" t="s">
        <v>43</v>
      </c>
    </row>
    <row r="7" spans="1:5" x14ac:dyDescent="0.25">
      <c r="A7" s="10" t="s">
        <v>29</v>
      </c>
      <c r="B7" s="18">
        <v>0.03</v>
      </c>
      <c r="C7" s="19" t="s">
        <v>44</v>
      </c>
      <c r="D7" s="19" t="s">
        <v>45</v>
      </c>
      <c r="E7" s="13" t="s">
        <v>46</v>
      </c>
    </row>
    <row r="8" spans="1:5" x14ac:dyDescent="0.25">
      <c r="A8" s="6" t="s">
        <v>30</v>
      </c>
      <c r="B8" s="20">
        <v>0.12</v>
      </c>
      <c r="C8" s="21" t="s">
        <v>47</v>
      </c>
      <c r="D8" s="21" t="s">
        <v>48</v>
      </c>
      <c r="E8" s="9" t="s">
        <v>49</v>
      </c>
    </row>
    <row r="9" spans="1:5" x14ac:dyDescent="0.25">
      <c r="A9" s="10" t="s">
        <v>31</v>
      </c>
      <c r="B9" s="18">
        <v>0.42</v>
      </c>
      <c r="C9" s="19" t="s">
        <v>50</v>
      </c>
      <c r="D9" s="19" t="s">
        <v>51</v>
      </c>
      <c r="E9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FMCG</vt:lpstr>
      <vt:lpstr>financial performance </vt:lpstr>
      <vt:lpstr>solvency ratios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2026-09-17T17:00:04Z</dcterms:created>
  <dcterms:modified xsi:type="dcterms:W3CDTF">2026-09-17T18:48:31Z</dcterms:modified>
</cp:coreProperties>
</file>